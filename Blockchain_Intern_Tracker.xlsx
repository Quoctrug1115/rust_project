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activeTab="1"/>
  </bookViews>
  <sheets>
    <sheet name="Tong quan" sheetId="1" r:id="rId1"/>
    <sheet name="Theo doi hang ngay" sheetId="2" r:id="rId2"/>
    <sheet name="Checkpoint theo tuan" sheetId="3" r:id="rId3"/>
    <sheet name="Portfolio Projects" sheetId="4" r:id="rId4"/>
    <sheet name="Cau hoi phong v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<sst xmlns="http://schemas.openxmlformats.org/spreadsheetml/2006/main" count="856" uniqueCount="451">
  <si>
    <t>BANG THEO DOI TIEN DO - LO TRINH 12 TUAN BLOCKCHAIN DEVELOPER INTERN (RUST / SOLANA)</t>
  </si>
  <si>
    <t>Ngay bat dau:</t>
  </si>
  <si>
    <t>Ngay ket thuc du kien (84 ngay):</t>
  </si>
  <si>
    <t>TIEN DO TONG QUAN - BLOCKCHAIN</t>
  </si>
  <si>
    <t>Tong so ngay hoc</t>
  </si>
  <si>
    <t>So ngay da hoan thanh</t>
  </si>
  <si>
    <t>So ngay dang lam</t>
  </si>
  <si>
    <t>% Hoan thanh tong the</t>
  </si>
  <si>
    <t>Tong so gio da hoc</t>
  </si>
  <si>
    <t>TIEN DO THEO TUAN (Blockchain &amp; DSA)</t>
  </si>
  <si>
    <t>Tuan</t>
  </si>
  <si>
    <t>Chu de Blockchain</t>
  </si>
  <si>
    <t>% Blockchain</t>
  </si>
  <si>
    <t>Chu de DSA</t>
  </si>
  <si>
    <t>% DSA</t>
  </si>
  <si>
    <t>Blockchain Fundamentals</t>
  </si>
  <si>
    <t>Array &amp; Hashing</t>
  </si>
  <si>
    <t>Cryptography chuyen sau</t>
  </si>
  <si>
    <t>Two Pointers &amp; Sliding Window</t>
  </si>
  <si>
    <t>Bitcoin Architecture</t>
  </si>
  <si>
    <t>Stack</t>
  </si>
  <si>
    <t>Ethereum Architecture</t>
  </si>
  <si>
    <t>Binary Search</t>
  </si>
  <si>
    <t>Rust nang cao cho on-chain</t>
  </si>
  <si>
    <t>Linked List</t>
  </si>
  <si>
    <t>Solana Fundamentals (native)</t>
  </si>
  <si>
    <t>Trees nhap mon</t>
  </si>
  <si>
    <t>Anchor Framework</t>
  </si>
  <si>
    <t>Trees nang cao &amp; Heap</t>
  </si>
  <si>
    <t>Smart Contract Dev - Escrow</t>
  </si>
  <si>
    <t>Backtracking</t>
  </si>
  <si>
    <t>SPL Token Program</t>
  </si>
  <si>
    <t>Graphs co ban</t>
  </si>
  <si>
    <t>NFT Program (Metaplex)</t>
  </si>
  <si>
    <t>Graphs nang cao</t>
  </si>
  <si>
    <t>DeFi co ban - Staking</t>
  </si>
  <si>
    <t>Dynamic Programming 1D</t>
  </si>
  <si>
    <t>Portfolio + Interview Prep</t>
  </si>
  <si>
    <t>DP 2D + Tong on</t>
  </si>
  <si>
    <t>TONG QUAN TRACK DSA</t>
  </si>
  <si>
    <t>Tong so bai LeetCode</t>
  </si>
  <si>
    <t>So bai da hoan thanh</t>
  </si>
  <si>
    <t>So bai dang lam</t>
  </si>
  <si>
    <t>So bai da bo qua (Hard tuy chon)</t>
  </si>
  <si>
    <t>% Hoan thanh DSA tong the</t>
  </si>
  <si>
    <t>PORTFOLIO PROJECTS</t>
  </si>
  <si>
    <t>Project</t>
  </si>
  <si>
    <t>Hoan thanh/Tong</t>
  </si>
  <si>
    <t>% Hoan thanh</t>
  </si>
  <si>
    <t>anchor-escrow</t>
  </si>
  <si>
    <t>anchor-staking-pool</t>
  </si>
  <si>
    <t>anchor-nft-minter</t>
  </si>
  <si>
    <t>CAU HOI PHONG VAN</t>
  </si>
  <si>
    <t>Da tu tin tra loi</t>
  </si>
  <si>
    <t>Ngay thu</t>
  </si>
  <si>
    <t>STT (1-84)</t>
  </si>
  <si>
    <t>Ngay hoc (date)</t>
  </si>
  <si>
    <t>Chu de chinh (Blockchain)</t>
  </si>
  <si>
    <t>Tai lieu chinh thuc</t>
  </si>
  <si>
    <t>Nhiem vu thuc hanh</t>
  </si>
  <si>
    <t>Trang thai (Blockchain)</t>
  </si>
  <si>
    <t>So gio hoc</t>
  </si>
  <si>
    <t>Ghi chu</t>
  </si>
  <si>
    <t>Chu de DSA tuan</t>
  </si>
  <si>
    <t>Bai LeetCode (Rust)</t>
  </si>
  <si>
    <t>Do kho DSA</t>
  </si>
  <si>
    <t>Trang thai DSA</t>
  </si>
  <si>
    <t>Ghi chu DSA</t>
  </si>
  <si>
    <t>Decentralization, distributed ledger, block structure</t>
  </si>
  <si>
    <t>Bitcoin Whitepaper - bitcoin.org/bitcoin.pdf</t>
  </si>
  <si>
    <t>Viet tom tat 1 trang + ve so do block</t>
  </si>
  <si>
    <t>Hoan thanh</t>
  </si>
  <si>
    <t>ghi nho ca keyword tieng anh</t>
  </si>
  <si>
    <t>Two Sum</t>
  </si>
  <si>
    <t>Easy</t>
  </si>
  <si>
    <t>chu y cac cu phap</t>
  </si>
  <si>
    <t>Cryptographic hash function (SHA-256, Keccak256)</t>
  </si>
  <si>
    <t>RustCrypto/hashes - github.com/RustCrypto/hashes</t>
  </si>
  <si>
    <t>Code hash_block() bang crate sha2, test avalanche effect</t>
  </si>
  <si>
    <t>Contains Duplicate</t>
  </si>
  <si>
    <t>su dung insert trong HashSet</t>
  </si>
  <si>
    <t>Merkle Tree: cau truc, Merkle proof</t>
  </si>
  <si>
    <t>Bitcoin Developer Guide - Merkle Trees</t>
  </si>
  <si>
    <t>Code MerkleTree struct, build proof, verify_proof()</t>
  </si>
  <si>
    <t>Dang lam</t>
  </si>
  <si>
    <t>Valid Anagram</t>
  </si>
  <si>
    <t>su dung sort hay vi sort_unstable</t>
  </si>
  <si>
    <t>Public-key cryptography, digital signature</t>
  </si>
  <si>
    <t>Cloudflare - ECC primer (blog.cloudflare.com)</t>
  </si>
  <si>
    <t>Dung ed25519-dalek: generate keypair, sign, verify</t>
  </si>
  <si>
    <t>Group Anagrams</t>
  </si>
  <si>
    <t>Medium</t>
  </si>
  <si>
    <t>nho entry, into_values</t>
  </si>
  <si>
    <t>Consensus: PoW, PoS, BFT (gioi thieu Tower BFT)</t>
  </si>
  <si>
    <t>Ethereum.org - Consensus Mechanisms</t>
  </si>
  <si>
    <t>Code PoW miner tim nonce thoa target</t>
  </si>
  <si>
    <t>Top K Frequent Elements</t>
  </si>
  <si>
    <t>Project ngay: ghep thanh mini blockchain</t>
  </si>
  <si>
    <t>-</t>
  </si>
  <si>
    <t>Xay rust-mini-blockchain: block+hash+Merkle+PoW+sign</t>
  </si>
  <si>
    <t>Product of Array Except Self</t>
  </si>
  <si>
    <t>Checkpoint tuan 1</t>
  </si>
  <si>
    <t>Tu quiz + push rust-mini-blockchain len GitHub</t>
  </si>
  <si>
    <t>Chua bat dau</t>
  </si>
  <si>
    <t>Valid Sudoku</t>
  </si>
  <si>
    <t>ECC truc giac, duong cong secp256k1</t>
  </si>
  <si>
    <t>SEC2 spec - secg.org/sec2-v2.pdf</t>
  </si>
  <si>
    <t>Ve so do point addition tren duong cong</t>
  </si>
  <si>
    <t>Valid Palindrome</t>
  </si>
  <si>
    <t>secp256k1 (BTC/ETH) vs ed25519 (Solana)</t>
  </si>
  <si>
    <t>Solana Docs - Keys &amp; Wallets</t>
  </si>
  <si>
    <t>Tao keypair bang solana-keygen, verify</t>
  </si>
  <si>
    <t>Two Sum II - Input Array Is Sorted</t>
  </si>
  <si>
    <t>Address derivation (Bitcoin/Ethereum/Solana)</t>
  </si>
  <si>
    <t>Ethereum.org - Accounts</t>
  </si>
  <si>
    <t>Tu tinh address ETH tu public key bang Rust</t>
  </si>
  <si>
    <t>3Sum</t>
  </si>
  <si>
    <t>BIP32/BIP39/BIP44 - mnemonic, HD wallet</t>
  </si>
  <si>
    <t>BIP-39 spec (github bitcoin/bips)</t>
  </si>
  <si>
    <t>Dung crate bip39 sinh mnemonic, derive Solana keypair</t>
  </si>
  <si>
    <t>Container With Most Water</t>
  </si>
  <si>
    <t>Transaction signing flow tong quat</t>
  </si>
  <si>
    <t>Solana Docs - Transactions</t>
  </si>
  <si>
    <t>Code Transaction struct + sign()/verify() doc lap</t>
  </si>
  <si>
    <t>Best Time to Buy and Sell Stock</t>
  </si>
  <si>
    <t>Project ngay: Wallet CLI tool</t>
  </si>
  <si>
    <t>Xay rust-wallet-cli: gen keypair, sign, verify, address</t>
  </si>
  <si>
    <t>Longest Substring Without Repeating Characters</t>
  </si>
  <si>
    <t>Checkpoint tuan 2</t>
  </si>
  <si>
    <t>Quiz + push rust-wallet-cli len GitHub</t>
  </si>
  <si>
    <t>Longest Repeating Character Replacement</t>
  </si>
  <si>
    <t>UTXO model vs Account model</t>
  </si>
  <si>
    <t>Bitcoin Developer Guide - Transactions</t>
  </si>
  <si>
    <t>Ve so do UTXO input/output</t>
  </si>
  <si>
    <t>Valid Parentheses</t>
  </si>
  <si>
    <t>Cau truc transaction Bitcoin (scriptSig/scriptPubKey)</t>
  </si>
  <si>
    <t>Bitcoin Developer Reference - Transactions</t>
  </si>
  <si>
    <t>Decode raw tx hex bang crate bitcoin (rust-bitcoin)</t>
  </si>
  <si>
    <t>Min Stack</t>
  </si>
  <si>
    <t>Block header, mining difficulty, Merkle root</t>
  </si>
  <si>
    <t>Bitcoin Developer Guide - Block Chain</t>
  </si>
  <si>
    <t>Lay block thuc qua Blockstream API, tu tinh lai Merkle root</t>
  </si>
  <si>
    <t>Evaluate Reverse Polish Notation</t>
  </si>
  <si>
    <t>Bitcoin Script co ban, multisig (P2SH)</t>
  </si>
  <si>
    <t>Bitcoin Script wiki (en.bitcoin.it/wiki/Script)</t>
  </si>
  <si>
    <t>Viet vi du OP_2 OP_3 OP_CHECKMULTISIG, giai thich flow</t>
  </si>
  <si>
    <t>Generate Parentheses</t>
  </si>
  <si>
    <t>Lightning Network tong quan</t>
  </si>
  <si>
    <t>Lightning Network whitepaper</t>
  </si>
  <si>
    <t>Tom tat 5 cau payment channel giai quyet van de gi</t>
  </si>
  <si>
    <t>Daily Temperatures</t>
  </si>
  <si>
    <t>Project ngay: Bitcoin tx parser</t>
  </si>
  <si>
    <t>Xay bitcoin-tx-parser CLI in JSON inputs/outputs/fee</t>
  </si>
  <si>
    <t>Car Fleet</t>
  </si>
  <si>
    <t>Checkpoint tuan 3</t>
  </si>
  <si>
    <t>Quiz UTXO vs Account + push bitcoin-tx-parser</t>
  </si>
  <si>
    <t>Largest Rectangle in Histogram</t>
  </si>
  <si>
    <t>Hard (tuy chon)</t>
  </si>
  <si>
    <t>Account model, World State (Merkle Patricia Trie)</t>
  </si>
  <si>
    <t>So sanh bang UTXO/Account/Solana (ban draft)</t>
  </si>
  <si>
    <t>EVM: bytecode, opcode, gas, execution model</t>
  </si>
  <si>
    <t>Ethereum.org - EVM</t>
  </si>
  <si>
    <t>Deploy contract counter qua Remix len Sepolia testnet</t>
  </si>
  <si>
    <t>Search a 2D Matrix</t>
  </si>
  <si>
    <t>ERC-20 / ERC-721 interface (doc hieu)</t>
  </si>
  <si>
    <t>EIP-20, EIP-721 (eips.ethereum.org)</t>
  </si>
  <si>
    <t>Doc interface, ghi chu so sanh voi SPL Token</t>
  </si>
  <si>
    <t>Koko Eating Bananas</t>
  </si>
  <si>
    <t>Gas mechanics, EIP-1559 (base fee + priority fee)</t>
  </si>
  <si>
    <t>Ethereum.org - Gas</t>
  </si>
  <si>
    <t>Tu tinh vi du phi gas thuc te</t>
  </si>
  <si>
    <t>Find Minimum in Rotated Sorted Array</t>
  </si>
  <si>
    <t>So sanh kien truc Bitcoin vs Ethereum vs Solana</t>
  </si>
  <si>
    <t>Solana Docs (solana.com/docs)</t>
  </si>
  <si>
    <t>Viet file comparison.md day du</t>
  </si>
  <si>
    <t>Search in Rotated Sorted Array</t>
  </si>
  <si>
    <t>Project ngay: Rust client query Ethereum testnet</t>
  </si>
  <si>
    <t>Dung ethers-rs/alloy query balance + latest block Sepolia</t>
  </si>
  <si>
    <t>Time Based Key-Value Store</t>
  </si>
  <si>
    <t>Checkpoint tuan 4</t>
  </si>
  <si>
    <t>Quiz so sanh kien truc + hoan thien comparison.md</t>
  </si>
  <si>
    <t>Median of Two Sorted Arrays</t>
  </si>
  <si>
    <t>Borsh serialization - vi sao Solana dung Borsh</t>
  </si>
  <si>
    <t>Borsh specification - borsh.io</t>
  </si>
  <si>
    <t>Derive BorshSerialize/Deserialize, in ra bytes</t>
  </si>
  <si>
    <t>Reverse Linked List</t>
  </si>
  <si>
    <t>Generic vs dyn Trait (anh huong compute unit)</t>
  </si>
  <si>
    <t>Rust Book Ch.10 &amp; Ch.17 (doc.rust-lang.org/book)</t>
  </si>
  <si>
    <t>So sanh binary size bang cargo bloat</t>
  </si>
  <si>
    <t>Merge Two Sorted Lists</t>
  </si>
  <si>
    <t>Memory layout: #[repr(C)], alignment/padding</t>
  </si>
  <si>
    <t>Rust Reference - Type Layout</t>
  </si>
  <si>
    <t>Kiem tra size_of/align_of truoc/sau khi them repr(C)</t>
  </si>
  <si>
    <t>Reorder List</t>
  </si>
  <si>
    <t>Macro co ban: macro_rules!</t>
  </si>
  <si>
    <t>Rust Book Ch.19.5 - Macros</t>
  </si>
  <si>
    <t>Viet macro tu sinh ham getter/setter cho struct</t>
  </si>
  <si>
    <t>Remove Nth Node From End of List</t>
  </si>
  <si>
    <t>Error handling: thiserror vs ProgramError</t>
  </si>
  <si>
    <t>thiserror docs (docs.rs/thiserror)</t>
  </si>
  <si>
    <t>Refactor code Axum cu dung thiserror</t>
  </si>
  <si>
    <t>Add Two Numbers</t>
  </si>
  <si>
    <t>Project ngay: Borsh playground + benchmark</t>
  </si>
  <si>
    <t>Repo borsh-playground: unit test + benchmark criterion</t>
  </si>
  <si>
    <t>Copy List with Random Pointer</t>
  </si>
  <si>
    <t>Checkpoint tuan 5</t>
  </si>
  <si>
    <t>Quiz vi sao tranh Box/Rc on-chain + push borsh-playground</t>
  </si>
  <si>
    <t>Linked List Cycle</t>
  </si>
  <si>
    <t>Solana account model: executable vs data, rent</t>
  </si>
  <si>
    <t>Solana Docs - Accounts</t>
  </si>
  <si>
    <t>Xem 1 account thuc qua CLI 'solana account &lt;address&gt;'</t>
  </si>
  <si>
    <t>Invert Binary Tree</t>
  </si>
  <si>
    <t>Transaction &amp; Instruction structure</t>
  </si>
  <si>
    <t>Ve so do 1 transaction nhieu instruction</t>
  </si>
  <si>
    <t>Maximum Depth of Binary Tree</t>
  </si>
  <si>
    <t>Program Derived Address (PDA): derive, bump seed</t>
  </si>
  <si>
    <t>Solana Docs - PDA</t>
  </si>
  <si>
    <t>Code find_program_address voi nhieu seed khac nhau</t>
  </si>
  <si>
    <t>Same Tree</t>
  </si>
  <si>
    <t>Cross-Program Invocation (CPI) - tong quan</t>
  </si>
  <si>
    <t>Solana Docs - CPI</t>
  </si>
  <si>
    <t>Doc source SPL Token program phan invoke()</t>
  </si>
  <si>
    <t>Subtree of Another Tree</t>
  </si>
  <si>
    <t>Setup moi truong: solana-test-validator, CLI toolchain</t>
  </si>
  <si>
    <t>Solana Docs - Installation</t>
  </si>
  <si>
    <t>Cai Solana CLI, chay local validator, airdrop SOL</t>
  </si>
  <si>
    <t>Lowest Common Ancestor of a BST</t>
  </si>
  <si>
    <t>Project ngay: Native Counter Program (khong Anchor)</t>
  </si>
  <si>
    <t>Repo solana-native-counter: Initialize+Increment, deploy local</t>
  </si>
  <si>
    <t>Binary Tree Level Order Traversal</t>
  </si>
  <si>
    <t>Checkpoint tuan 6</t>
  </si>
  <si>
    <t>Quiz flow transaction toan dien + push solana-native-counter</t>
  </si>
  <si>
    <t>Validate Binary Search Tree</t>
  </si>
  <si>
    <t>Cai dat Anchor, cau truc project, Anchor.toml, IDL</t>
  </si>
  <si>
    <t>Anchor Docs - Installation (anchor-lang.com)</t>
  </si>
  <si>
    <t>anchor init, anchor build, xem file IDL sinh ra</t>
  </si>
  <si>
    <t>Binary Tree Right Side View</t>
  </si>
  <si>
    <t>Macro #[program], instruction handler, Context&lt;T&gt;</t>
  </si>
  <si>
    <t>Anchor Docs - Program Module</t>
  </si>
  <si>
    <t>Viet lai Counter Program (tuan 6) bang Anchor</t>
  </si>
  <si>
    <t>Construct Binary Tree from Preorder and Inorder Traversal</t>
  </si>
  <si>
    <t>#[derive(Accounts)]: init, payer, space, seeds, bump, has_one</t>
  </si>
  <si>
    <t>Anchor Docs - Account Constraints</t>
  </si>
  <si>
    <t>Them PDA vao Counter Program, dung seeds/bump</t>
  </si>
  <si>
    <t>Kth Smallest Element in a BST</t>
  </si>
  <si>
    <t>Custom error #[error_code], su kien emit!</t>
  </si>
  <si>
    <t>Anchor Docs - Errors</t>
  </si>
  <si>
    <t>Them custom error thay cho panic!</t>
  </si>
  <si>
    <t>Kth Largest Element in an Array</t>
  </si>
  <si>
    <t>Testing Anchor bang TypeScript (Mocha)</t>
  </si>
  <si>
    <t>Anchor Docs - Testing</t>
  </si>
  <si>
    <t>Viet tests/counter.ts: happy path + 1 case loi</t>
  </si>
  <si>
    <t>Last Stone Weight</t>
  </si>
  <si>
    <t>Project ngay: hoan thien Anchor Counter</t>
  </si>
  <si>
    <t>Repo anchor-counter: Init/Inc/Dec/Reset + test + README</t>
  </si>
  <si>
    <t>K Closest Points to Origin</t>
  </si>
  <si>
    <t>Checkpoint tuan 7</t>
  </si>
  <si>
    <t>Quiz Anchor tu dong validate gi + push anchor-counter</t>
  </si>
  <si>
    <t>Top K Frequent Elements (lam lai)</t>
  </si>
  <si>
    <t>Thiet ke Escrow program: use-case, account/state</t>
  </si>
  <si>
    <t>Anchor + SPL Token Docs</t>
  </si>
  <si>
    <t>Ve so do account EscrowState/Vault/Initializer/Taker</t>
  </si>
  <si>
    <t>Subsets</t>
  </si>
  <si>
    <t>Implement initialize_escrow + CPI transfer vao vault</t>
  </si>
  <si>
    <t>Anchor Docs - CPI</t>
  </si>
  <si>
    <t>Code initialize, dung anchor_spl::token::transfer</t>
  </si>
  <si>
    <t>Combination Sum</t>
  </si>
  <si>
    <t>Implement exchange (taker doi token)</t>
  </si>
  <si>
    <t>Code exchange voi has_one, kiem tra amount khop</t>
  </si>
  <si>
    <t>Permutations</t>
  </si>
  <si>
    <t>Implement cancel (initializer rut lai)</t>
  </si>
  <si>
    <t>Code cancel, dam bao chi initializer moi cancel duoc</t>
  </si>
  <si>
    <t>Word Search</t>
  </si>
  <si>
    <t>Viet test day du: happy path + cac case fail</t>
  </si>
  <si>
    <t>Viet &gt;=5 test case trong tests/escrow.ts</t>
  </si>
  <si>
    <t>Letter Combinations of a Phone Number</t>
  </si>
  <si>
    <t>Security review: overflow, signer check, ownership</t>
  </si>
  <si>
    <t>github.com/coral-xyz/sealevel-attacks</t>
  </si>
  <si>
    <t>Ra soat code theo checklist sealevel-attacks, fix lo hong</t>
  </si>
  <si>
    <t>Palindrome Partitioning</t>
  </si>
  <si>
    <t>Checkpoint tuan 8 - Portfolio Project #1</t>
  </si>
  <si>
    <t>Deploy devnet, demo script, push anchor-escrow + README</t>
  </si>
  <si>
    <t>N-Queens</t>
  </si>
  <si>
    <t>SPL Token: Mint account, Token account, ATA</t>
  </si>
  <si>
    <t>SPL Token Docs (spl.solana.com/token)</t>
  </si>
  <si>
    <t>Ghi chu khac biet SPL Token vs ERC-20</t>
  </si>
  <si>
    <t>Number of Islands</t>
  </si>
  <si>
    <t>Thuc hanh CLI: tao token, mint, transfer</t>
  </si>
  <si>
    <t>Solana Docs - spl-token CLI</t>
  </si>
  <si>
    <t>create-token, create-account, mint, transfer tren devnet</t>
  </si>
  <si>
    <t>Clone Graph</t>
  </si>
  <si>
    <t>Implement Anchor: create_mint, mint_to (anchor-spl)</t>
  </si>
  <si>
    <t>Anchor SPL docs (docs.rs/anchor-spl)</t>
  </si>
  <si>
    <t>Viet instruction create_mint va mint_tokens</t>
  </si>
  <si>
    <t>Max Area of Island</t>
  </si>
  <si>
    <t>Token-2022 (Token Extensions) tong quan</t>
  </si>
  <si>
    <t>Solana Docs - Token Extensions</t>
  </si>
  <si>
    <t>Doc &amp; ghi chu 3 extension pho bien nhat</t>
  </si>
  <si>
    <t>Pacific Atlantic Water Flow</t>
  </si>
  <si>
    <t>Thiet ke Token Faucet (cooldown chong spam)</t>
  </si>
  <si>
    <t>Thiet ke FaucetConfig PDA + last_claim_timestamp</t>
  </si>
  <si>
    <t>Course Schedule</t>
  </si>
  <si>
    <t>Project ngay: Implement &amp; test Token Faucet</t>
  </si>
  <si>
    <t>Repo spl-token-faucet: initialize_faucet, claim_token + test</t>
  </si>
  <si>
    <t>Number of Connected Components in an Undirected Graph</t>
  </si>
  <si>
    <t>Checkpoint tuan 9 - Portfolio Project #2 (ung vien)</t>
  </si>
  <si>
    <t>Quiz vi sao can ATA + push spl-token-faucet</t>
  </si>
  <si>
    <t>Redundant Connection</t>
  </si>
  <si>
    <t>NFT tren Solana: Metadata Account, Master Edition</t>
  </si>
  <si>
    <t>Metaplex Docs - Token Metadata</t>
  </si>
  <si>
    <t>Doc so do Mint + Metadata account</t>
  </si>
  <si>
    <t>Course Schedule II</t>
  </si>
  <si>
    <t>Thuc hanh mint NFT qua SDK/CLI (cam nhan flow)</t>
  </si>
  <si>
    <t>Metaplex Sugar CLI / Umi SDK</t>
  </si>
  <si>
    <t>Mint 1 NFT test tren devnet, xem Solana Explorer</t>
  </si>
  <si>
    <t>Network Delay Time</t>
  </si>
  <si>
    <t>Implement CPI mint_nft trong Anchor program</t>
  </si>
  <si>
    <t>Metaplex Token Metadata Rust SDK</t>
  </si>
  <si>
    <t>Code mint_nft: tao mint + CPI metadata + master edition</t>
  </si>
  <si>
    <t>Cheapest Flights Within K Stops</t>
  </si>
  <si>
    <t>Candy Machine - tong quan kien truc</t>
  </si>
  <si>
    <t>Metaplex Docs - Candy Machine</t>
  </si>
  <si>
    <t>Doc &amp; ghi chu flow config line/guard/mint</t>
  </si>
  <si>
    <t>Min Cost to Connect All Points</t>
  </si>
  <si>
    <t>Hoan thien metadata: royalty, creators array</t>
  </si>
  <si>
    <t>Bo sung seller_fee_basis_points, creators</t>
  </si>
  <si>
    <t>Word Ladder</t>
  </si>
  <si>
    <t>Project ngay: Test &amp; deploy NFT Minter</t>
  </si>
  <si>
    <t>Repo anchor-nft-minter: test mint, verify tren Explorer</t>
  </si>
  <si>
    <t>Alien Dictionary</t>
  </si>
  <si>
    <t>Checkpoint tuan 10 - Portfolio Project #3 (ung vien)</t>
  </si>
  <si>
    <t>Quiz NFT vs Fungible Token + push anchor-nft-minter</t>
  </si>
  <si>
    <t>Surrounded Regions</t>
  </si>
  <si>
    <t>AMM: constant product formula x*y=k, slippage</t>
  </si>
  <si>
    <t>Uniswap V2 Whitepaper</t>
  </si>
  <si>
    <t>Tu tinh vi du swap bang tay theo cong thuc</t>
  </si>
  <si>
    <t>Climbing Stairs</t>
  </si>
  <si>
    <t>Solana DeFi: Raydium (AMM), Orca (concentrated liquidity)</t>
  </si>
  <si>
    <t>Orca Docs (docs.orca.so)</t>
  </si>
  <si>
    <t>Ghi chu khac biet AMM thuong vs Whirlpool</t>
  </si>
  <si>
    <t>House Robber</t>
  </si>
  <si>
    <t>Lending/Borrowing: collateral, health factor, liquidation</t>
  </si>
  <si>
    <t>Solend/Kamino Docs</t>
  </si>
  <si>
    <t>Ghi chu flow deposit-borrow-liquidation</t>
  </si>
  <si>
    <t>House Robber II</t>
  </si>
  <si>
    <t>Thiet ke Staking Pool (reward theo thoi gian)</t>
  </si>
  <si>
    <t>Thiet ke StakePool/UserStake (PDA theo user)</t>
  </si>
  <si>
    <t>Longest Increasing Subsequence</t>
  </si>
  <si>
    <t>Implement stake + tinh reward (checked_add/mul)</t>
  </si>
  <si>
    <t>Solana Docs - Program Security</t>
  </si>
  <si>
    <t>Code stake, update_rewards</t>
  </si>
  <si>
    <t>Coin Change</t>
  </si>
  <si>
    <t>Project ngay: claim_rewards, unstake + test</t>
  </si>
  <si>
    <t>Repo anchor-staking-pool: hoan thien 4 instruction + test</t>
  </si>
  <si>
    <t>Maximum Subarray</t>
  </si>
  <si>
    <t>Checkpoint tuan 11</t>
  </si>
  <si>
    <t>Quiz vi sao dung checked_* + push anchor-staking-pool</t>
  </si>
  <si>
    <t>Word Break</t>
  </si>
  <si>
    <t>Chon &amp; polish 3 project portfolio tot nhat</t>
  </si>
  <si>
    <t>Viet lai README chuan cho 3 repo (kien truc, cach chay)</t>
  </si>
  <si>
    <t>Unique Paths</t>
  </si>
  <si>
    <t>Them CI/CD don gian (GitHub Actions)</t>
  </si>
  <si>
    <t>GitHub Actions docs</t>
  </si>
  <si>
    <t>Them workflow chay anchor build/test tu dong</t>
  </si>
  <si>
    <t>Longest Common Subsequence</t>
  </si>
  <si>
    <t>Demo truc quan (GIF/video ngan)</t>
  </si>
  <si>
    <t>Quay demo tung project, nhung vao README</t>
  </si>
  <si>
    <t>Edit Distance</t>
  </si>
  <si>
    <t>Medium (tuy chon)</t>
  </si>
  <si>
    <t>On tap tong hop toan bo 11 tuan</t>
  </si>
  <si>
    <t>Doc lai comparison.md, sealevel-attacks, cac quiz cu</t>
  </si>
  <si>
    <t>Merge Intervals</t>
  </si>
  <si>
    <t>Luyen 20 cau hoi phong van</t>
  </si>
  <si>
    <t>Tu tra loi thanh tieng, ghi am, nghe lai, rut gon</t>
  </si>
  <si>
    <t>Tu chon 1 bai lam sai/cham nhat truoc do</t>
  </si>
  <si>
    <t>Mock interview + live coding nho</t>
  </si>
  <si>
    <t>Tu dat de viet 1 instruction Anchor trong 20-25 phut</t>
  </si>
  <si>
    <t>Mock interview: 1 bai Medium ngau nhien, bam gio 35-40p</t>
  </si>
  <si>
    <t>Checkpoint cuoi cung</t>
  </si>
  <si>
    <t>Chay qua checklist ky nang, chuan bi CV, apply</t>
  </si>
  <si>
    <t>Tong ket track DSA</t>
  </si>
  <si>
    <t>Tieu chi checkpoint</t>
  </si>
  <si>
    <t>Da hoan thanh ngay 7?</t>
  </si>
  <si>
    <t>Dat / Chua dat</t>
  </si>
  <si>
    <t>Chu de DSA tuan nay</t>
  </si>
  <si>
    <t>% DSA hoan thanh tuan</t>
  </si>
  <si>
    <t>Giai thich duoc hash/Merkle/PoW, code rust-mini-blockchain chay duoc</t>
  </si>
  <si>
    <t>Tu tao keypair, sign/verify thanh thao, rust-wallet-cli hoan chinh</t>
  </si>
  <si>
    <t>Hieu UTXO, parse duoc raw Bitcoin transaction</t>
  </si>
  <si>
    <t>Hieu EVM/gas, viet xong file so sanh BTC/ETH/Solana</t>
  </si>
  <si>
    <t>Thanh thao Borsh, hieu memory layout, benchmark xong</t>
  </si>
  <si>
    <t>Tu viet duoc native Solana program, hieu PDA/CPI co ban</t>
  </si>
  <si>
    <t>Tu viet Anchor program tu dau khong copy template</t>
  </si>
  <si>
    <t>anchor-escrow deploy devnet thanh cong, qua security review</t>
  </si>
  <si>
    <t>spl-token-faucet hoat dong dung, hieu ro ATA</t>
  </si>
  <si>
    <t>anchor-nft-minter mint thanh cong, metadata hien dung tren Explorer</t>
  </si>
  <si>
    <t>anchor-staking-pool tinh reward dung, khong overflow</t>
  </si>
  <si>
    <t>3 portfolio hoan chinh, tra loi tron 20 cau hoi phong van</t>
  </si>
  <si>
    <t>Milestone</t>
  </si>
  <si>
    <t>Trang thai</t>
  </si>
  <si>
    <t>TONG HOP TIEN DO PROJECT</t>
  </si>
  <si>
    <t>Thiet ke account/state (EscrowState, Vault)</t>
  </si>
  <si>
    <t>Hoan thanh / Tong</t>
  </si>
  <si>
    <t>Implement exchange</t>
  </si>
  <si>
    <t>Implement cancel</t>
  </si>
  <si>
    <t>Viet test day du (happy path + fail cases)</t>
  </si>
  <si>
    <t>Security review theo checklist sealevel-attacks</t>
  </si>
  <si>
    <t>Deploy devnet + README hoan chinh</t>
  </si>
  <si>
    <t>Thiet ke StakePool / UserStake (PDA)</t>
  </si>
  <si>
    <t>Implement initialize_pool</t>
  </si>
  <si>
    <t>Implement stake + update_rewards (checked_*)</t>
  </si>
  <si>
    <t>Implement claim_rewards</t>
  </si>
  <si>
    <t>Implement unstake</t>
  </si>
  <si>
    <t>Test day du (stake/claim/unstake)</t>
  </si>
  <si>
    <t>Doc &amp; hieu Metaplex Token Metadata</t>
  </si>
  <si>
    <t>Implement mint_nft (tao mint + CPI metadata)</t>
  </si>
  <si>
    <t>Them Master Edition</t>
  </si>
  <si>
    <t>Them royalty / creators array</t>
  </si>
  <si>
    <t>Test + verify tren Solana Explorer</t>
  </si>
  <si>
    <t>STT</t>
  </si>
  <si>
    <t>Nhom</t>
  </si>
  <si>
    <t>Cau hoi</t>
  </si>
  <si>
    <t>Da tu tin tra loi?</t>
  </si>
  <si>
    <t>Ghi chu / Diem can cai thien</t>
  </si>
  <si>
    <t>So cau da tu tin</t>
  </si>
  <si>
    <t>Fundamentals</t>
  </si>
  <si>
    <t>Blockchain la gi, khac gi database phan tan thong thuong?</t>
  </si>
  <si>
    <t>Chua</t>
  </si>
  <si>
    <t>Hash function co tinh chat gi? Vi sao quan trong voi blockchain?</t>
  </si>
  <si>
    <t>Digital signature hoat dong nhu the nao? Phan biet voi ma hoa (encryption)?</t>
  </si>
  <si>
    <t>Merkle Tree dung de lam gi trong blockchain?</t>
  </si>
  <si>
    <t>Bitcoin/Ethereum</t>
  </si>
  <si>
    <t>UTXO model khac Account model nhu the nao? Uu nhuoc diem moi loai?</t>
  </si>
  <si>
    <t>EVM la gi? Gas dung de lam gi?</t>
  </si>
  <si>
    <t>ERC-20 va ERC-721 khac nhau o diem gi?</t>
  </si>
  <si>
    <t>Solana core</t>
  </si>
  <si>
    <t>Vi sao Solana dat throughput cao hon Ethereum L1?</t>
  </si>
  <si>
    <t>Account model cua Solana hoat dong ra sao? Khac Ethereum the nao?</t>
  </si>
  <si>
    <t>PDA (Program Derived Address) la gi, dung de lam gi?</t>
  </si>
  <si>
    <t>Rent tren Solana la gi?</t>
  </si>
  <si>
    <t>CPI (Cross-Program Invocation) la gi? Cho vi du thuc te.</t>
  </si>
  <si>
    <t>Compute budget / compute unit la gi? Tai sao phai quan tam?</t>
  </si>
  <si>
    <t>Anchor &amp; Smart Contract</t>
  </si>
  <si>
    <t>Anchor giup gi so voi viet native Solana program?</t>
  </si>
  <si>
    <t>#[account(init, payer, space)] trong Anchor lam gi?</t>
  </si>
  <si>
    <t>Anchor dung discriminator de lam gi?</t>
  </si>
  <si>
    <t>Neu 3 lo hong bao mat pho bien trong Solana program va cach phong tranh.</t>
  </si>
  <si>
    <t>Token/NFT/DeFi</t>
  </si>
  <si>
    <t>SPL Token khac ERC-20 o diem gi ve kien truc?</t>
  </si>
  <si>
    <t>NFT tren Solana duoc cau truc nhu the nao (Metaplex)?</t>
  </si>
  <si>
    <t>AMM hoat dong theo cong thuc nao? Impermanent loss la gi?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</si>
</sst>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"/>
  </numFmts>
  <fonts count="29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4"/>
      <color rgb="FFFFFFFF"/>
      <name val="Arial"/>
      <charset val="1"/>
    </font>
    <font>
      <b/>
      <sz val="10"/>
      <color rgb="FF0000FF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2" fillId="3" borderId="1" xfId="0" applyFont="1" applyFill="1" applyBorder="1"/>
    <xf numFmtId="0" fontId="3" fillId="0" borderId="1" xfId="0" applyFont="1" applyBorder="1"/>
    <xf numFmtId="0" fontId="0" fillId="0" borderId="1" xfId="0" applyBorder="1"/>
    <xf numFmtId="9" fontId="0" fillId="0" borderId="1" xfId="0" applyNumberFormat="1" applyBorder="1"/>
    <xf numFmtId="9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176" fontId="6" fillId="4" borderId="0" xfId="0" applyNumberFormat="1" applyFont="1" applyFill="1" applyAlignment="1">
      <alignment horizontal="center"/>
    </xf>
    <xf numFmtId="0" fontId="0" fillId="0" borderId="0" xfId="0" applyFont="1"/>
    <xf numFmtId="176" fontId="3" fillId="0" borderId="0" xfId="0" applyNumberFormat="1" applyFont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showGridLines="0" workbookViewId="0">
      <selection activeCell="C7" sqref="C7"/>
    </sheetView>
  </sheetViews>
  <sheetFormatPr defaultColWidth="8.67592592592593" defaultRowHeight="14.4" outlineLevelCol="7"/>
  <cols>
    <col min="1" max="1" width="30" customWidth="1"/>
    <col min="2" max="2" width="22" customWidth="1"/>
    <col min="3" max="3" width="30" customWidth="1"/>
    <col min="4" max="4" width="16" customWidth="1"/>
    <col min="5" max="8" width="14" customWidth="1"/>
  </cols>
  <sheetData>
    <row r="1" ht="30" customHeight="1" spans="1:8">
      <c r="A1" s="16" t="s">
        <v>0</v>
      </c>
      <c r="B1" s="16"/>
      <c r="C1" s="16"/>
      <c r="D1" s="16"/>
      <c r="E1" s="16"/>
      <c r="F1" s="16"/>
      <c r="G1" s="16"/>
      <c r="H1" s="16"/>
    </row>
    <row r="3" spans="1:8">
      <c r="A3" s="2" t="s">
        <v>1</v>
      </c>
      <c r="B3" s="17">
        <v>46191</v>
      </c>
      <c r="C3" s="18"/>
    </row>
    <row r="4" spans="1:8">
      <c r="A4" s="2" t="s">
        <v>2</v>
      </c>
      <c r="B4" s="19">
        <f>B3+83</f>
        <v>46274</v>
      </c>
    </row>
    <row r="6" ht="15.6" spans="1:8">
      <c r="A6" s="6" t="s">
        <v>3</v>
      </c>
    </row>
    <row r="7" spans="1:8">
      <c r="A7" s="8" t="s">
        <v>4</v>
      </c>
      <c r="B7" s="20">
        <v>84</v>
      </c>
    </row>
    <row r="8" spans="1:8">
      <c r="A8" s="8" t="s">
        <v>5</v>
      </c>
      <c r="B8" s="20">
        <f>COUNTIF('Theo doi hang ngay'!H2:H85,"Hoan thanh")</f>
        <v>2</v>
      </c>
    </row>
    <row r="9" spans="1:8">
      <c r="A9" s="8" t="s">
        <v>6</v>
      </c>
      <c r="B9" s="20">
        <f>COUNTIF('Theo doi hang ngay'!H2:H85,"Dang lam")</f>
        <v>4</v>
      </c>
    </row>
    <row r="10" spans="1:8">
      <c r="A10" s="8" t="s">
        <v>7</v>
      </c>
      <c r="B10" s="21">
        <f>COUNTIF('Theo doi hang ngay'!H2:H85,"Hoan thanh")/84</f>
        <v>0.0238095238095238</v>
      </c>
    </row>
    <row r="11" spans="1:8">
      <c r="A11" s="8" t="s">
        <v>8</v>
      </c>
      <c r="B11" s="20">
        <f>SUM('Theo doi hang ngay'!I2:I85)</f>
        <v>3.5</v>
      </c>
    </row>
    <row r="13" ht="15.6" spans="1:8">
      <c r="A13" s="6" t="s">
        <v>9</v>
      </c>
    </row>
    <row r="14" spans="1:8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</row>
    <row r="15" spans="1:8">
      <c r="A15" s="3">
        <v>1</v>
      </c>
      <c r="B15" s="4" t="s">
        <v>15</v>
      </c>
      <c r="C15" s="11">
        <f>COUNTIFS('Theo doi hang ngay'!H2:H8,"Hoan thanh")/7</f>
        <v>0.285714285714286</v>
      </c>
      <c r="D15" s="4" t="s">
        <v>16</v>
      </c>
      <c r="E15" s="11">
        <f>COUNTIFS('Theo doi hang ngay'!N2:N8,"Hoan thanh")/7</f>
        <v>0.571428571428571</v>
      </c>
    </row>
    <row r="16" ht="26.4" spans="1:8">
      <c r="A16" s="3">
        <v>2</v>
      </c>
      <c r="B16" s="4" t="s">
        <v>17</v>
      </c>
      <c r="C16" s="11">
        <f>COUNTIFS('Theo doi hang ngay'!H9:H15,"Hoan thanh")/7</f>
        <v>0</v>
      </c>
      <c r="D16" s="4" t="s">
        <v>18</v>
      </c>
      <c r="E16" s="11">
        <f>COUNTIFS('Theo doi hang ngay'!N9:N15,"Hoan thanh")/7</f>
        <v>0</v>
      </c>
    </row>
    <row r="17" spans="1:5">
      <c r="A17" s="3">
        <v>3</v>
      </c>
      <c r="B17" s="4" t="s">
        <v>19</v>
      </c>
      <c r="C17" s="11">
        <f>COUNTIFS('Theo doi hang ngay'!H16:H22,"Hoan thanh")/7</f>
        <v>0</v>
      </c>
      <c r="D17" s="4" t="s">
        <v>20</v>
      </c>
      <c r="E17" s="11">
        <f>COUNTIFS('Theo doi hang ngay'!N16:N22,"Hoan thanh")/7</f>
        <v>0</v>
      </c>
    </row>
    <row r="18" spans="1:5">
      <c r="A18" s="3">
        <v>4</v>
      </c>
      <c r="B18" s="4" t="s">
        <v>21</v>
      </c>
      <c r="C18" s="11">
        <f>COUNTIFS('Theo doi hang ngay'!H23:H29,"Hoan thanh")/7</f>
        <v>0</v>
      </c>
      <c r="D18" s="4" t="s">
        <v>22</v>
      </c>
      <c r="E18" s="11">
        <f>COUNTIFS('Theo doi hang ngay'!N23:N29,"Hoan thanh")/7</f>
        <v>0</v>
      </c>
    </row>
    <row r="19" ht="26.4" spans="1:5">
      <c r="A19" s="3">
        <v>5</v>
      </c>
      <c r="B19" s="4" t="s">
        <v>23</v>
      </c>
      <c r="C19" s="11">
        <f>COUNTIFS('Theo doi hang ngay'!H30:H36,"Hoan thanh")/7</f>
        <v>0</v>
      </c>
      <c r="D19" s="4" t="s">
        <v>24</v>
      </c>
      <c r="E19" s="11">
        <f>COUNTIFS('Theo doi hang ngay'!N30:N36,"Hoan thanh")/7</f>
        <v>0</v>
      </c>
    </row>
    <row r="20" ht="26.4" spans="1:5">
      <c r="A20" s="3">
        <v>6</v>
      </c>
      <c r="B20" s="4" t="s">
        <v>25</v>
      </c>
      <c r="C20" s="11">
        <f>COUNTIFS('Theo doi hang ngay'!H37:H43,"Hoan thanh")/7</f>
        <v>0</v>
      </c>
      <c r="D20" s="4" t="s">
        <v>26</v>
      </c>
      <c r="E20" s="11">
        <f>COUNTIFS('Theo doi hang ngay'!N37:N43,"Hoan thanh")/7</f>
        <v>0</v>
      </c>
    </row>
    <row r="21" ht="26.4" spans="1:5">
      <c r="A21" s="3">
        <v>7</v>
      </c>
      <c r="B21" s="4" t="s">
        <v>27</v>
      </c>
      <c r="C21" s="11">
        <f>COUNTIFS('Theo doi hang ngay'!H44:H50,"Hoan thanh")/7</f>
        <v>0</v>
      </c>
      <c r="D21" s="4" t="s">
        <v>28</v>
      </c>
      <c r="E21" s="11">
        <f>COUNTIFS('Theo doi hang ngay'!N44:N50,"Hoan thanh")/7</f>
        <v>0</v>
      </c>
    </row>
    <row r="22" ht="26.4" spans="1:5">
      <c r="A22" s="3">
        <v>8</v>
      </c>
      <c r="B22" s="4" t="s">
        <v>29</v>
      </c>
      <c r="C22" s="11">
        <f>COUNTIFS('Theo doi hang ngay'!H51:H57,"Hoan thanh")/7</f>
        <v>0</v>
      </c>
      <c r="D22" s="4" t="s">
        <v>30</v>
      </c>
      <c r="E22" s="11">
        <f>COUNTIFS('Theo doi hang ngay'!N51:N57,"Hoan thanh")/7</f>
        <v>0</v>
      </c>
    </row>
    <row r="23" spans="1:5">
      <c r="A23" s="3">
        <v>9</v>
      </c>
      <c r="B23" s="4" t="s">
        <v>31</v>
      </c>
      <c r="C23" s="11">
        <f>COUNTIFS('Theo doi hang ngay'!H58:H64,"Hoan thanh")/7</f>
        <v>0</v>
      </c>
      <c r="D23" s="4" t="s">
        <v>32</v>
      </c>
      <c r="E23" s="11">
        <f>COUNTIFS('Theo doi hang ngay'!N58:N64,"Hoan thanh")/7</f>
        <v>0</v>
      </c>
    </row>
    <row r="24" spans="1:5">
      <c r="A24" s="3">
        <v>10</v>
      </c>
      <c r="B24" s="4" t="s">
        <v>33</v>
      </c>
      <c r="C24" s="11">
        <f>COUNTIFS('Theo doi hang ngay'!H65:H71,"Hoan thanh")/7</f>
        <v>0</v>
      </c>
      <c r="D24" s="4" t="s">
        <v>34</v>
      </c>
      <c r="E24" s="11">
        <f>COUNTIFS('Theo doi hang ngay'!N65:N71,"Hoan thanh")/7</f>
        <v>0</v>
      </c>
    </row>
    <row r="25" ht="26.4" spans="1:5">
      <c r="A25" s="3">
        <v>11</v>
      </c>
      <c r="B25" s="4" t="s">
        <v>35</v>
      </c>
      <c r="C25" s="11">
        <f>COUNTIFS('Theo doi hang ngay'!H72:H78,"Hoan thanh")/7</f>
        <v>0</v>
      </c>
      <c r="D25" s="4" t="s">
        <v>36</v>
      </c>
      <c r="E25" s="11">
        <f>COUNTIFS('Theo doi hang ngay'!N72:N78,"Hoan thanh")/7</f>
        <v>0</v>
      </c>
    </row>
    <row r="26" spans="1:5">
      <c r="A26" s="3">
        <v>12</v>
      </c>
      <c r="B26" s="4" t="s">
        <v>37</v>
      </c>
      <c r="C26" s="11">
        <f>COUNTIFS('Theo doi hang ngay'!H79:H85,"Hoan thanh")/7</f>
        <v>0</v>
      </c>
      <c r="D26" s="4" t="s">
        <v>38</v>
      </c>
      <c r="E26" s="11">
        <f>COUNTIFS('Theo doi hang ngay'!N79:N85,"Hoan thanh")/7</f>
        <v>0</v>
      </c>
    </row>
    <row r="28" ht="15.6" spans="1:5">
      <c r="A28" s="6" t="s">
        <v>39</v>
      </c>
    </row>
    <row r="29" spans="1:5">
      <c r="A29" s="8" t="s">
        <v>40</v>
      </c>
      <c r="B29" s="20">
        <v>84</v>
      </c>
    </row>
    <row r="30" spans="1:5">
      <c r="A30" s="8" t="s">
        <v>41</v>
      </c>
      <c r="B30" s="20">
        <f>COUNTIF('Theo doi hang ngay'!N2:N85,"Hoan thanh")</f>
        <v>4</v>
      </c>
    </row>
    <row r="31" spans="1:5">
      <c r="A31" s="8" t="s">
        <v>42</v>
      </c>
      <c r="B31" s="20">
        <f>COUNTIF('Theo doi hang ngay'!N2:N85,"Dang lam")</f>
        <v>2</v>
      </c>
    </row>
    <row r="32" spans="1:5">
      <c r="A32" s="8" t="s">
        <v>43</v>
      </c>
      <c r="B32" s="20">
        <f>COUNTIF('Theo doi hang ngay'!N2:N85,"Bo qua")</f>
        <v>0</v>
      </c>
    </row>
    <row r="33" spans="1:3">
      <c r="A33" s="8" t="s">
        <v>44</v>
      </c>
      <c r="B33" s="21">
        <f>COUNTIF('Theo doi hang ngay'!N2:N85,"Hoan thanh")/84</f>
        <v>0.0476190476190476</v>
      </c>
    </row>
    <row r="35" ht="15.6" spans="1:3">
      <c r="A35" s="6" t="s">
        <v>45</v>
      </c>
    </row>
    <row r="36" spans="1:3">
      <c r="A36" s="1" t="s">
        <v>46</v>
      </c>
      <c r="B36" s="1" t="s">
        <v>47</v>
      </c>
      <c r="C36" s="1" t="s">
        <v>48</v>
      </c>
    </row>
    <row r="37" spans="1:3">
      <c r="A37" s="3" t="s">
        <v>49</v>
      </c>
      <c r="B37" s="3" t="str">
        <f>'Portfolio Projects'!G3</f>
        <v>0/7</v>
      </c>
      <c r="C37" s="11">
        <f>'Portfolio Projects'!H3</f>
        <v>0</v>
      </c>
    </row>
    <row r="38" spans="1:3">
      <c r="A38" s="3" t="s">
        <v>50</v>
      </c>
      <c r="B38" s="3" t="str">
        <f>'Portfolio Projects'!G4</f>
        <v>0/7</v>
      </c>
      <c r="C38" s="11">
        <f>'Portfolio Projects'!H4</f>
        <v>0</v>
      </c>
    </row>
    <row r="39" spans="1:3">
      <c r="A39" s="3" t="s">
        <v>51</v>
      </c>
      <c r="B39" s="3" t="str">
        <f>'Portfolio Projects'!G5</f>
        <v>0/6</v>
      </c>
      <c r="C39" s="11">
        <f>'Portfolio Projects'!H5</f>
        <v>0</v>
      </c>
    </row>
    <row r="41" ht="15.6" spans="1:3">
      <c r="A41" s="6" t="s">
        <v>52</v>
      </c>
    </row>
    <row r="42" spans="1:3">
      <c r="A42" s="8" t="s">
        <v>53</v>
      </c>
      <c r="B42" s="20" t="str">
        <f>'Cau hoi phong van'!G2</f>
        <v>0/20</v>
      </c>
    </row>
    <row r="44" spans="1:3">
      <c r="A44" s="22"/>
    </row>
    <row r="45" spans="1:3">
      <c r="A45" s="22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tabSelected="1" topLeftCell="D1" workbookViewId="0">
      <pane ySplit="1" topLeftCell="A2" activePane="bottomLeft" state="frozen"/>
      <selection/>
      <selection pane="bottomLeft" activeCell="H7" sqref="H7"/>
    </sheetView>
  </sheetViews>
  <sheetFormatPr defaultColWidth="8.67592592592593" defaultRowHeight="14.4"/>
  <cols>
    <col min="1" max="1" width="7" customWidth="1"/>
    <col min="2" max="2" width="9" customWidth="1"/>
    <col min="3" max="3" width="10" customWidth="1"/>
    <col min="4" max="4" width="14" customWidth="1"/>
    <col min="5" max="6" width="32" customWidth="1"/>
    <col min="7" max="7" width="38" customWidth="1"/>
    <col min="8" max="8" width="18" customWidth="1"/>
    <col min="9" max="9" width="10" customWidth="1"/>
    <col min="10" max="10" width="20" customWidth="1"/>
    <col min="11" max="11" width="22" customWidth="1"/>
    <col min="12" max="12" width="32" customWidth="1"/>
    <col min="13" max="13" width="16" customWidth="1"/>
    <col min="14" max="14" width="14" customWidth="1"/>
    <col min="15" max="15" width="20" customWidth="1"/>
  </cols>
  <sheetData>
    <row r="1" ht="27.6" spans="1:15">
      <c r="A1" s="1" t="s">
        <v>10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</row>
    <row r="2" ht="26.4" spans="1:15">
      <c r="A2" s="3">
        <v>1</v>
      </c>
      <c r="B2" s="3">
        <v>1</v>
      </c>
      <c r="C2" s="3">
        <v>1</v>
      </c>
      <c r="D2" s="12">
        <f>'Tong quan'!$B$3+(C2-1)</f>
        <v>46191</v>
      </c>
      <c r="E2" s="4" t="s">
        <v>68</v>
      </c>
      <c r="F2" s="4" t="s">
        <v>69</v>
      </c>
      <c r="G2" s="4" t="s">
        <v>70</v>
      </c>
      <c r="H2" s="3" t="s">
        <v>71</v>
      </c>
      <c r="I2" s="3">
        <v>1.5</v>
      </c>
      <c r="J2" s="4" t="s">
        <v>72</v>
      </c>
      <c r="K2" s="3" t="s">
        <v>16</v>
      </c>
      <c r="L2" s="3" t="s">
        <v>73</v>
      </c>
      <c r="M2" s="3" t="s">
        <v>74</v>
      </c>
      <c r="N2" s="3" t="s">
        <v>71</v>
      </c>
      <c r="O2" s="3" t="s">
        <v>75</v>
      </c>
    </row>
    <row r="3" ht="26.4" spans="1:15">
      <c r="A3" s="3">
        <v>1</v>
      </c>
      <c r="B3" s="3">
        <v>2</v>
      </c>
      <c r="C3" s="3">
        <v>2</v>
      </c>
      <c r="D3" s="12">
        <f>'Tong quan'!$B$3+(C3-1)</f>
        <v>46192</v>
      </c>
      <c r="E3" s="4" t="s">
        <v>76</v>
      </c>
      <c r="F3" s="4" t="s">
        <v>77</v>
      </c>
      <c r="G3" s="4" t="s">
        <v>78</v>
      </c>
      <c r="H3" s="3" t="s">
        <v>71</v>
      </c>
      <c r="I3" s="3">
        <v>2</v>
      </c>
      <c r="J3" s="4" t="s">
        <v>72</v>
      </c>
      <c r="K3" s="3"/>
      <c r="L3" s="3" t="s">
        <v>79</v>
      </c>
      <c r="M3" s="3" t="s">
        <v>74</v>
      </c>
      <c r="N3" s="3" t="s">
        <v>71</v>
      </c>
      <c r="O3" s="3" t="s">
        <v>80</v>
      </c>
    </row>
    <row r="4" ht="26.4" spans="1:15">
      <c r="A4" s="3">
        <v>1</v>
      </c>
      <c r="B4" s="3">
        <v>3</v>
      </c>
      <c r="C4" s="3">
        <v>3</v>
      </c>
      <c r="D4" s="12">
        <f>'Tong quan'!$B$3+(C4-1)</f>
        <v>46193</v>
      </c>
      <c r="E4" s="4" t="s">
        <v>81</v>
      </c>
      <c r="F4" s="4" t="s">
        <v>82</v>
      </c>
      <c r="G4" s="4" t="s">
        <v>83</v>
      </c>
      <c r="H4" s="3" t="s">
        <v>84</v>
      </c>
      <c r="I4" s="3"/>
      <c r="J4" s="4"/>
      <c r="K4" s="3"/>
      <c r="L4" s="3" t="s">
        <v>85</v>
      </c>
      <c r="M4" s="3" t="s">
        <v>74</v>
      </c>
      <c r="N4" s="3" t="s">
        <v>71</v>
      </c>
      <c r="O4" s="3" t="s">
        <v>86</v>
      </c>
    </row>
    <row r="5" ht="26.4" spans="1:15">
      <c r="A5" s="3">
        <v>1</v>
      </c>
      <c r="B5" s="3">
        <v>4</v>
      </c>
      <c r="C5" s="3">
        <v>4</v>
      </c>
      <c r="D5" s="12">
        <f>'Tong quan'!$B$3+(C5-1)</f>
        <v>46194</v>
      </c>
      <c r="E5" s="4" t="s">
        <v>87</v>
      </c>
      <c r="F5" s="4" t="s">
        <v>88</v>
      </c>
      <c r="G5" s="4" t="s">
        <v>89</v>
      </c>
      <c r="H5" s="3" t="s">
        <v>84</v>
      </c>
      <c r="I5" s="3"/>
      <c r="J5" s="4"/>
      <c r="K5" s="3"/>
      <c r="L5" s="3" t="s">
        <v>90</v>
      </c>
      <c r="M5" s="3" t="s">
        <v>91</v>
      </c>
      <c r="N5" s="3" t="s">
        <v>71</v>
      </c>
      <c r="O5" s="3" t="s">
        <v>92</v>
      </c>
    </row>
    <row r="6" ht="26.4" spans="1:15">
      <c r="A6" s="3">
        <v>1</v>
      </c>
      <c r="B6" s="3">
        <v>5</v>
      </c>
      <c r="C6" s="3">
        <v>5</v>
      </c>
      <c r="D6" s="12">
        <f>'Tong quan'!$B$3+(C6-1)</f>
        <v>46195</v>
      </c>
      <c r="E6" s="4" t="s">
        <v>93</v>
      </c>
      <c r="F6" s="4" t="s">
        <v>94</v>
      </c>
      <c r="G6" s="4" t="s">
        <v>95</v>
      </c>
      <c r="H6" s="3" t="s">
        <v>84</v>
      </c>
      <c r="I6" s="3"/>
      <c r="J6" s="4"/>
      <c r="K6" s="3"/>
      <c r="L6" s="3" t="s">
        <v>96</v>
      </c>
      <c r="M6" s="3" t="s">
        <v>91</v>
      </c>
      <c r="N6" s="3" t="s">
        <v>84</v>
      </c>
      <c r="O6" s="3"/>
    </row>
    <row r="7" ht="26.4" spans="1:15">
      <c r="A7" s="3">
        <v>1</v>
      </c>
      <c r="B7" s="3">
        <v>6</v>
      </c>
      <c r="C7" s="3">
        <v>6</v>
      </c>
      <c r="D7" s="12">
        <f>'Tong quan'!$B$3+(C7-1)</f>
        <v>46196</v>
      </c>
      <c r="E7" s="4" t="s">
        <v>97</v>
      </c>
      <c r="F7" s="4" t="s">
        <v>98</v>
      </c>
      <c r="G7" s="4" t="s">
        <v>99</v>
      </c>
      <c r="H7" s="3" t="s">
        <v>84</v>
      </c>
      <c r="I7" s="3"/>
      <c r="J7" s="4"/>
      <c r="K7" s="3"/>
      <c r="L7" s="3" t="s">
        <v>100</v>
      </c>
      <c r="M7" s="3" t="s">
        <v>91</v>
      </c>
      <c r="N7" s="3" t="s">
        <v>84</v>
      </c>
      <c r="O7" s="3"/>
    </row>
    <row r="8" ht="26.4" spans="1:15">
      <c r="A8" s="13">
        <v>1</v>
      </c>
      <c r="B8" s="13">
        <v>7</v>
      </c>
      <c r="C8" s="13">
        <v>7</v>
      </c>
      <c r="D8" s="14">
        <f>'Tong quan'!$B$3+(C8-1)</f>
        <v>46197</v>
      </c>
      <c r="E8" s="15" t="s">
        <v>101</v>
      </c>
      <c r="F8" s="15" t="s">
        <v>98</v>
      </c>
      <c r="G8" s="15" t="s">
        <v>102</v>
      </c>
      <c r="H8" s="13" t="s">
        <v>103</v>
      </c>
      <c r="I8" s="13"/>
      <c r="J8" s="15"/>
      <c r="K8" s="13"/>
      <c r="L8" s="13" t="s">
        <v>104</v>
      </c>
      <c r="M8" s="13" t="s">
        <v>91</v>
      </c>
      <c r="N8" s="13" t="s">
        <v>103</v>
      </c>
      <c r="O8" s="13"/>
    </row>
    <row r="9" ht="26.4" spans="1:15">
      <c r="A9" s="3">
        <v>2</v>
      </c>
      <c r="B9" s="3">
        <v>1</v>
      </c>
      <c r="C9" s="3">
        <v>8</v>
      </c>
      <c r="D9" s="12">
        <f>'Tong quan'!$B$3+(C9-1)</f>
        <v>46198</v>
      </c>
      <c r="E9" s="4" t="s">
        <v>105</v>
      </c>
      <c r="F9" s="4" t="s">
        <v>106</v>
      </c>
      <c r="G9" s="4" t="s">
        <v>107</v>
      </c>
      <c r="H9" s="3" t="s">
        <v>103</v>
      </c>
      <c r="I9" s="3"/>
      <c r="J9" s="4"/>
      <c r="K9" s="3" t="s">
        <v>18</v>
      </c>
      <c r="L9" s="3" t="s">
        <v>108</v>
      </c>
      <c r="M9" s="3" t="s">
        <v>74</v>
      </c>
      <c r="N9" s="3" t="s">
        <v>103</v>
      </c>
      <c r="O9" s="3"/>
    </row>
    <row r="10" ht="26.4" spans="1:15">
      <c r="A10" s="3">
        <v>2</v>
      </c>
      <c r="B10" s="3">
        <v>2</v>
      </c>
      <c r="C10" s="3">
        <v>9</v>
      </c>
      <c r="D10" s="12">
        <f>'Tong quan'!$B$3+(C10-1)</f>
        <v>46199</v>
      </c>
      <c r="E10" s="4" t="s">
        <v>109</v>
      </c>
      <c r="F10" s="4" t="s">
        <v>110</v>
      </c>
      <c r="G10" s="4" t="s">
        <v>111</v>
      </c>
      <c r="H10" s="3" t="s">
        <v>103</v>
      </c>
      <c r="I10" s="3"/>
      <c r="J10" s="4"/>
      <c r="K10" s="3"/>
      <c r="L10" s="3" t="s">
        <v>112</v>
      </c>
      <c r="M10" s="3" t="s">
        <v>74</v>
      </c>
      <c r="N10" s="3" t="s">
        <v>103</v>
      </c>
      <c r="O10" s="3"/>
    </row>
    <row r="11" ht="26.4" spans="1:15">
      <c r="A11" s="3">
        <v>2</v>
      </c>
      <c r="B11" s="3">
        <v>3</v>
      </c>
      <c r="C11" s="3">
        <v>10</v>
      </c>
      <c r="D11" s="12">
        <f>'Tong quan'!$B$3+(C11-1)</f>
        <v>46200</v>
      </c>
      <c r="E11" s="4" t="s">
        <v>113</v>
      </c>
      <c r="F11" s="4" t="s">
        <v>114</v>
      </c>
      <c r="G11" s="4" t="s">
        <v>115</v>
      </c>
      <c r="H11" s="3" t="s">
        <v>103</v>
      </c>
      <c r="I11" s="3"/>
      <c r="J11" s="4"/>
      <c r="K11" s="3"/>
      <c r="L11" s="3" t="s">
        <v>116</v>
      </c>
      <c r="M11" s="3" t="s">
        <v>91</v>
      </c>
      <c r="N11" s="3" t="s">
        <v>103</v>
      </c>
      <c r="O11" s="3"/>
    </row>
    <row r="12" ht="26.4" spans="1:15">
      <c r="A12" s="3">
        <v>2</v>
      </c>
      <c r="B12" s="3">
        <v>4</v>
      </c>
      <c r="C12" s="3">
        <v>11</v>
      </c>
      <c r="D12" s="12">
        <f>'Tong quan'!$B$3+(C12-1)</f>
        <v>46201</v>
      </c>
      <c r="E12" s="4" t="s">
        <v>117</v>
      </c>
      <c r="F12" s="4" t="s">
        <v>118</v>
      </c>
      <c r="G12" s="4" t="s">
        <v>119</v>
      </c>
      <c r="H12" s="3" t="s">
        <v>103</v>
      </c>
      <c r="I12" s="3"/>
      <c r="J12" s="4"/>
      <c r="K12" s="3"/>
      <c r="L12" s="3" t="s">
        <v>120</v>
      </c>
      <c r="M12" s="3" t="s">
        <v>91</v>
      </c>
      <c r="N12" s="3" t="s">
        <v>103</v>
      </c>
      <c r="O12" s="3"/>
    </row>
    <row r="13" ht="26.4" spans="1:15">
      <c r="A13" s="3">
        <v>2</v>
      </c>
      <c r="B13" s="3">
        <v>5</v>
      </c>
      <c r="C13" s="3">
        <v>12</v>
      </c>
      <c r="D13" s="12">
        <f>'Tong quan'!$B$3+(C13-1)</f>
        <v>46202</v>
      </c>
      <c r="E13" s="4" t="s">
        <v>121</v>
      </c>
      <c r="F13" s="4" t="s">
        <v>122</v>
      </c>
      <c r="G13" s="4" t="s">
        <v>123</v>
      </c>
      <c r="H13" s="3" t="s">
        <v>103</v>
      </c>
      <c r="I13" s="3"/>
      <c r="J13" s="4"/>
      <c r="K13" s="3"/>
      <c r="L13" s="3" t="s">
        <v>124</v>
      </c>
      <c r="M13" s="3" t="s">
        <v>74</v>
      </c>
      <c r="N13" s="3" t="s">
        <v>103</v>
      </c>
      <c r="O13" s="3"/>
    </row>
    <row r="14" ht="26.4" spans="1:15">
      <c r="A14" s="3">
        <v>2</v>
      </c>
      <c r="B14" s="3">
        <v>6</v>
      </c>
      <c r="C14" s="3">
        <v>13</v>
      </c>
      <c r="D14" s="12">
        <f>'Tong quan'!$B$3+(C14-1)</f>
        <v>46203</v>
      </c>
      <c r="E14" s="4" t="s">
        <v>125</v>
      </c>
      <c r="F14" s="4" t="s">
        <v>98</v>
      </c>
      <c r="G14" s="4" t="s">
        <v>126</v>
      </c>
      <c r="H14" s="3" t="s">
        <v>103</v>
      </c>
      <c r="I14" s="3"/>
      <c r="J14" s="4"/>
      <c r="K14" s="3"/>
      <c r="L14" s="3" t="s">
        <v>127</v>
      </c>
      <c r="M14" s="3" t="s">
        <v>91</v>
      </c>
      <c r="N14" s="3" t="s">
        <v>103</v>
      </c>
      <c r="O14" s="3"/>
    </row>
    <row r="15" ht="26.4" spans="1:15">
      <c r="A15" s="13">
        <v>2</v>
      </c>
      <c r="B15" s="13">
        <v>7</v>
      </c>
      <c r="C15" s="13">
        <v>14</v>
      </c>
      <c r="D15" s="14">
        <f>'Tong quan'!$B$3+(C15-1)</f>
        <v>46204</v>
      </c>
      <c r="E15" s="15" t="s">
        <v>128</v>
      </c>
      <c r="F15" s="15" t="s">
        <v>98</v>
      </c>
      <c r="G15" s="15" t="s">
        <v>129</v>
      </c>
      <c r="H15" s="13" t="s">
        <v>103</v>
      </c>
      <c r="I15" s="13"/>
      <c r="J15" s="15"/>
      <c r="K15" s="13"/>
      <c r="L15" s="13" t="s">
        <v>130</v>
      </c>
      <c r="M15" s="13" t="s">
        <v>91</v>
      </c>
      <c r="N15" s="13" t="s">
        <v>103</v>
      </c>
      <c r="O15" s="13"/>
    </row>
    <row r="16" ht="26.4" spans="1:15">
      <c r="A16" s="3">
        <v>3</v>
      </c>
      <c r="B16" s="3">
        <v>1</v>
      </c>
      <c r="C16" s="3">
        <v>15</v>
      </c>
      <c r="D16" s="12">
        <f>'Tong quan'!$B$3+(C16-1)</f>
        <v>46205</v>
      </c>
      <c r="E16" s="4" t="s">
        <v>131</v>
      </c>
      <c r="F16" s="4" t="s">
        <v>132</v>
      </c>
      <c r="G16" s="4" t="s">
        <v>133</v>
      </c>
      <c r="H16" s="3" t="s">
        <v>103</v>
      </c>
      <c r="I16" s="3"/>
      <c r="J16" s="4"/>
      <c r="K16" s="3" t="s">
        <v>20</v>
      </c>
      <c r="L16" s="3" t="s">
        <v>134</v>
      </c>
      <c r="M16" s="3" t="s">
        <v>74</v>
      </c>
      <c r="N16" s="3" t="s">
        <v>103</v>
      </c>
      <c r="O16" s="3"/>
    </row>
    <row r="17" ht="26.4" spans="1:15">
      <c r="A17" s="3">
        <v>3</v>
      </c>
      <c r="B17" s="3">
        <v>2</v>
      </c>
      <c r="C17" s="3">
        <v>16</v>
      </c>
      <c r="D17" s="12">
        <f>'Tong quan'!$B$3+(C17-1)</f>
        <v>46206</v>
      </c>
      <c r="E17" s="4" t="s">
        <v>135</v>
      </c>
      <c r="F17" s="4" t="s">
        <v>136</v>
      </c>
      <c r="G17" s="4" t="s">
        <v>137</v>
      </c>
      <c r="H17" s="3" t="s">
        <v>103</v>
      </c>
      <c r="I17" s="3"/>
      <c r="J17" s="4"/>
      <c r="K17" s="3"/>
      <c r="L17" s="3" t="s">
        <v>138</v>
      </c>
      <c r="M17" s="3" t="s">
        <v>91</v>
      </c>
      <c r="N17" s="3" t="s">
        <v>103</v>
      </c>
      <c r="O17" s="3"/>
    </row>
    <row r="18" ht="26.4" spans="1:15">
      <c r="A18" s="3">
        <v>3</v>
      </c>
      <c r="B18" s="3">
        <v>3</v>
      </c>
      <c r="C18" s="3">
        <v>17</v>
      </c>
      <c r="D18" s="12">
        <f>'Tong quan'!$B$3+(C18-1)</f>
        <v>46207</v>
      </c>
      <c r="E18" s="4" t="s">
        <v>139</v>
      </c>
      <c r="F18" s="4" t="s">
        <v>140</v>
      </c>
      <c r="G18" s="4" t="s">
        <v>141</v>
      </c>
      <c r="H18" s="3" t="s">
        <v>103</v>
      </c>
      <c r="I18" s="3"/>
      <c r="J18" s="4"/>
      <c r="K18" s="3"/>
      <c r="L18" s="3" t="s">
        <v>142</v>
      </c>
      <c r="M18" s="3" t="s">
        <v>91</v>
      </c>
      <c r="N18" s="3" t="s">
        <v>103</v>
      </c>
      <c r="O18" s="3"/>
    </row>
    <row r="19" ht="26.4" spans="1:15">
      <c r="A19" s="3">
        <v>3</v>
      </c>
      <c r="B19" s="3">
        <v>4</v>
      </c>
      <c r="C19" s="3">
        <v>18</v>
      </c>
      <c r="D19" s="12">
        <f>'Tong quan'!$B$3+(C19-1)</f>
        <v>46208</v>
      </c>
      <c r="E19" s="4" t="s">
        <v>143</v>
      </c>
      <c r="F19" s="4" t="s">
        <v>144</v>
      </c>
      <c r="G19" s="4" t="s">
        <v>145</v>
      </c>
      <c r="H19" s="3" t="s">
        <v>103</v>
      </c>
      <c r="I19" s="3"/>
      <c r="J19" s="4"/>
      <c r="K19" s="3"/>
      <c r="L19" s="3" t="s">
        <v>146</v>
      </c>
      <c r="M19" s="3" t="s">
        <v>91</v>
      </c>
      <c r="N19" s="3" t="s">
        <v>103</v>
      </c>
      <c r="O19" s="3"/>
    </row>
    <row r="20" ht="26.4" spans="1:15">
      <c r="A20" s="3">
        <v>3</v>
      </c>
      <c r="B20" s="3">
        <v>5</v>
      </c>
      <c r="C20" s="3">
        <v>19</v>
      </c>
      <c r="D20" s="12">
        <f>'Tong quan'!$B$3+(C20-1)</f>
        <v>46209</v>
      </c>
      <c r="E20" s="4" t="s">
        <v>147</v>
      </c>
      <c r="F20" s="4" t="s">
        <v>148</v>
      </c>
      <c r="G20" s="4" t="s">
        <v>149</v>
      </c>
      <c r="H20" s="3" t="s">
        <v>103</v>
      </c>
      <c r="I20" s="3"/>
      <c r="J20" s="4"/>
      <c r="K20" s="3"/>
      <c r="L20" s="3" t="s">
        <v>150</v>
      </c>
      <c r="M20" s="3" t="s">
        <v>91</v>
      </c>
      <c r="N20" s="3" t="s">
        <v>103</v>
      </c>
      <c r="O20" s="3"/>
    </row>
    <row r="21" ht="26.4" spans="1:15">
      <c r="A21" s="3">
        <v>3</v>
      </c>
      <c r="B21" s="3">
        <v>6</v>
      </c>
      <c r="C21" s="3">
        <v>20</v>
      </c>
      <c r="D21" s="12">
        <f>'Tong quan'!$B$3+(C21-1)</f>
        <v>46210</v>
      </c>
      <c r="E21" s="4" t="s">
        <v>151</v>
      </c>
      <c r="F21" s="4" t="s">
        <v>98</v>
      </c>
      <c r="G21" s="4" t="s">
        <v>152</v>
      </c>
      <c r="H21" s="3" t="s">
        <v>103</v>
      </c>
      <c r="I21" s="3"/>
      <c r="J21" s="4"/>
      <c r="K21" s="3"/>
      <c r="L21" s="3" t="s">
        <v>153</v>
      </c>
      <c r="M21" s="3" t="s">
        <v>91</v>
      </c>
      <c r="N21" s="3" t="s">
        <v>103</v>
      </c>
      <c r="O21" s="3"/>
    </row>
    <row r="22" ht="26.4" spans="1:15">
      <c r="A22" s="13">
        <v>3</v>
      </c>
      <c r="B22" s="13">
        <v>7</v>
      </c>
      <c r="C22" s="13">
        <v>21</v>
      </c>
      <c r="D22" s="14">
        <f>'Tong quan'!$B$3+(C22-1)</f>
        <v>46211</v>
      </c>
      <c r="E22" s="15" t="s">
        <v>154</v>
      </c>
      <c r="F22" s="15" t="s">
        <v>98</v>
      </c>
      <c r="G22" s="15" t="s">
        <v>155</v>
      </c>
      <c r="H22" s="13" t="s">
        <v>103</v>
      </c>
      <c r="I22" s="13"/>
      <c r="J22" s="15"/>
      <c r="K22" s="13"/>
      <c r="L22" s="13" t="s">
        <v>156</v>
      </c>
      <c r="M22" s="13" t="s">
        <v>157</v>
      </c>
      <c r="N22" s="13" t="s">
        <v>103</v>
      </c>
      <c r="O22" s="13"/>
    </row>
    <row r="23" ht="26.4" spans="1:15">
      <c r="A23" s="3">
        <v>4</v>
      </c>
      <c r="B23" s="3">
        <v>1</v>
      </c>
      <c r="C23" s="3">
        <v>22</v>
      </c>
      <c r="D23" s="12">
        <f>'Tong quan'!$B$3+(C23-1)</f>
        <v>46212</v>
      </c>
      <c r="E23" s="4" t="s">
        <v>158</v>
      </c>
      <c r="F23" s="4" t="s">
        <v>114</v>
      </c>
      <c r="G23" s="4" t="s">
        <v>159</v>
      </c>
      <c r="H23" s="3" t="s">
        <v>103</v>
      </c>
      <c r="I23" s="3"/>
      <c r="J23" s="4"/>
      <c r="K23" s="3" t="s">
        <v>22</v>
      </c>
      <c r="L23" s="3" t="s">
        <v>22</v>
      </c>
      <c r="M23" s="3" t="s">
        <v>74</v>
      </c>
      <c r="N23" s="3" t="s">
        <v>103</v>
      </c>
      <c r="O23" s="3"/>
    </row>
    <row r="24" ht="26.4" spans="1:15">
      <c r="A24" s="3">
        <v>4</v>
      </c>
      <c r="B24" s="3">
        <v>2</v>
      </c>
      <c r="C24" s="3">
        <v>23</v>
      </c>
      <c r="D24" s="12">
        <f>'Tong quan'!$B$3+(C24-1)</f>
        <v>46213</v>
      </c>
      <c r="E24" s="4" t="s">
        <v>160</v>
      </c>
      <c r="F24" s="4" t="s">
        <v>161</v>
      </c>
      <c r="G24" s="4" t="s">
        <v>162</v>
      </c>
      <c r="H24" s="3" t="s">
        <v>103</v>
      </c>
      <c r="I24" s="3"/>
      <c r="J24" s="4"/>
      <c r="K24" s="3"/>
      <c r="L24" s="3" t="s">
        <v>163</v>
      </c>
      <c r="M24" s="3" t="s">
        <v>91</v>
      </c>
      <c r="N24" s="3" t="s">
        <v>103</v>
      </c>
      <c r="O24" s="3"/>
    </row>
    <row r="25" ht="26.4" spans="1:15">
      <c r="A25" s="3">
        <v>4</v>
      </c>
      <c r="B25" s="3">
        <v>3</v>
      </c>
      <c r="C25" s="3">
        <v>24</v>
      </c>
      <c r="D25" s="12">
        <f>'Tong quan'!$B$3+(C25-1)</f>
        <v>46214</v>
      </c>
      <c r="E25" s="4" t="s">
        <v>164</v>
      </c>
      <c r="F25" s="4" t="s">
        <v>165</v>
      </c>
      <c r="G25" s="4" t="s">
        <v>166</v>
      </c>
      <c r="H25" s="3" t="s">
        <v>103</v>
      </c>
      <c r="I25" s="3"/>
      <c r="J25" s="4"/>
      <c r="K25" s="3"/>
      <c r="L25" s="3" t="s">
        <v>167</v>
      </c>
      <c r="M25" s="3" t="s">
        <v>91</v>
      </c>
      <c r="N25" s="3" t="s">
        <v>103</v>
      </c>
      <c r="O25" s="3"/>
    </row>
    <row r="26" ht="26.4" spans="1:15">
      <c r="A26" s="3">
        <v>4</v>
      </c>
      <c r="B26" s="3">
        <v>4</v>
      </c>
      <c r="C26" s="3">
        <v>25</v>
      </c>
      <c r="D26" s="12">
        <f>'Tong quan'!$B$3+(C26-1)</f>
        <v>46215</v>
      </c>
      <c r="E26" s="4" t="s">
        <v>168</v>
      </c>
      <c r="F26" s="4" t="s">
        <v>169</v>
      </c>
      <c r="G26" s="4" t="s">
        <v>170</v>
      </c>
      <c r="H26" s="3" t="s">
        <v>103</v>
      </c>
      <c r="I26" s="3"/>
      <c r="J26" s="4"/>
      <c r="K26" s="3"/>
      <c r="L26" s="3" t="s">
        <v>171</v>
      </c>
      <c r="M26" s="3" t="s">
        <v>91</v>
      </c>
      <c r="N26" s="3" t="s">
        <v>103</v>
      </c>
      <c r="O26" s="3"/>
    </row>
    <row r="27" ht="26.4" spans="1:15">
      <c r="A27" s="3">
        <v>4</v>
      </c>
      <c r="B27" s="3">
        <v>5</v>
      </c>
      <c r="C27" s="3">
        <v>26</v>
      </c>
      <c r="D27" s="12">
        <f>'Tong quan'!$B$3+(C27-1)</f>
        <v>46216</v>
      </c>
      <c r="E27" s="4" t="s">
        <v>172</v>
      </c>
      <c r="F27" s="4" t="s">
        <v>173</v>
      </c>
      <c r="G27" s="4" t="s">
        <v>174</v>
      </c>
      <c r="H27" s="3" t="s">
        <v>103</v>
      </c>
      <c r="I27" s="3"/>
      <c r="J27" s="4"/>
      <c r="K27" s="3"/>
      <c r="L27" s="3" t="s">
        <v>175</v>
      </c>
      <c r="M27" s="3" t="s">
        <v>91</v>
      </c>
      <c r="N27" s="3" t="s">
        <v>103</v>
      </c>
      <c r="O27" s="3"/>
    </row>
    <row r="28" ht="26.4" spans="1:15">
      <c r="A28" s="3">
        <v>4</v>
      </c>
      <c r="B28" s="3">
        <v>6</v>
      </c>
      <c r="C28" s="3">
        <v>27</v>
      </c>
      <c r="D28" s="12">
        <f>'Tong quan'!$B$3+(C28-1)</f>
        <v>46217</v>
      </c>
      <c r="E28" s="4" t="s">
        <v>176</v>
      </c>
      <c r="F28" s="4" t="s">
        <v>98</v>
      </c>
      <c r="G28" s="4" t="s">
        <v>177</v>
      </c>
      <c r="H28" s="3" t="s">
        <v>103</v>
      </c>
      <c r="I28" s="3"/>
      <c r="J28" s="4"/>
      <c r="K28" s="3"/>
      <c r="L28" s="3" t="s">
        <v>178</v>
      </c>
      <c r="M28" s="3" t="s">
        <v>91</v>
      </c>
      <c r="N28" s="3" t="s">
        <v>103</v>
      </c>
      <c r="O28" s="3"/>
    </row>
    <row r="29" ht="26.4" spans="1:15">
      <c r="A29" s="13">
        <v>4</v>
      </c>
      <c r="B29" s="13">
        <v>7</v>
      </c>
      <c r="C29" s="13">
        <v>28</v>
      </c>
      <c r="D29" s="14">
        <f>'Tong quan'!$B$3+(C29-1)</f>
        <v>46218</v>
      </c>
      <c r="E29" s="15" t="s">
        <v>179</v>
      </c>
      <c r="F29" s="15" t="s">
        <v>98</v>
      </c>
      <c r="G29" s="15" t="s">
        <v>180</v>
      </c>
      <c r="H29" s="13" t="s">
        <v>103</v>
      </c>
      <c r="I29" s="13"/>
      <c r="J29" s="15"/>
      <c r="K29" s="13"/>
      <c r="L29" s="13" t="s">
        <v>181</v>
      </c>
      <c r="M29" s="13" t="s">
        <v>157</v>
      </c>
      <c r="N29" s="13" t="s">
        <v>103</v>
      </c>
      <c r="O29" s="13"/>
    </row>
    <row r="30" ht="26.4" spans="1:15">
      <c r="A30" s="3">
        <v>5</v>
      </c>
      <c r="B30" s="3">
        <v>1</v>
      </c>
      <c r="C30" s="3">
        <v>29</v>
      </c>
      <c r="D30" s="12">
        <f>'Tong quan'!$B$3+(C30-1)</f>
        <v>46219</v>
      </c>
      <c r="E30" s="4" t="s">
        <v>182</v>
      </c>
      <c r="F30" s="4" t="s">
        <v>183</v>
      </c>
      <c r="G30" s="4" t="s">
        <v>184</v>
      </c>
      <c r="H30" s="3" t="s">
        <v>103</v>
      </c>
      <c r="I30" s="3"/>
      <c r="J30" s="4"/>
      <c r="K30" s="3" t="s">
        <v>24</v>
      </c>
      <c r="L30" s="3" t="s">
        <v>185</v>
      </c>
      <c r="M30" s="3" t="s">
        <v>74</v>
      </c>
      <c r="N30" s="3" t="s">
        <v>103</v>
      </c>
      <c r="O30" s="3"/>
    </row>
    <row r="31" ht="26.4" spans="1:15">
      <c r="A31" s="3">
        <v>5</v>
      </c>
      <c r="B31" s="3">
        <v>2</v>
      </c>
      <c r="C31" s="3">
        <v>30</v>
      </c>
      <c r="D31" s="12">
        <f>'Tong quan'!$B$3+(C31-1)</f>
        <v>46220</v>
      </c>
      <c r="E31" s="4" t="s">
        <v>186</v>
      </c>
      <c r="F31" s="4" t="s">
        <v>187</v>
      </c>
      <c r="G31" s="4" t="s">
        <v>188</v>
      </c>
      <c r="H31" s="3" t="s">
        <v>103</v>
      </c>
      <c r="I31" s="3"/>
      <c r="J31" s="4"/>
      <c r="K31" s="3"/>
      <c r="L31" s="3" t="s">
        <v>189</v>
      </c>
      <c r="M31" s="3" t="s">
        <v>74</v>
      </c>
      <c r="N31" s="3" t="s">
        <v>103</v>
      </c>
      <c r="O31" s="3"/>
    </row>
    <row r="32" ht="26.4" spans="1:15">
      <c r="A32" s="3">
        <v>5</v>
      </c>
      <c r="B32" s="3">
        <v>3</v>
      </c>
      <c r="C32" s="3">
        <v>31</v>
      </c>
      <c r="D32" s="12">
        <f>'Tong quan'!$B$3+(C32-1)</f>
        <v>46221</v>
      </c>
      <c r="E32" s="4" t="s">
        <v>190</v>
      </c>
      <c r="F32" s="4" t="s">
        <v>191</v>
      </c>
      <c r="G32" s="4" t="s">
        <v>192</v>
      </c>
      <c r="H32" s="3" t="s">
        <v>103</v>
      </c>
      <c r="I32" s="3"/>
      <c r="J32" s="4"/>
      <c r="K32" s="3"/>
      <c r="L32" s="3" t="s">
        <v>193</v>
      </c>
      <c r="M32" s="3" t="s">
        <v>91</v>
      </c>
      <c r="N32" s="3" t="s">
        <v>103</v>
      </c>
      <c r="O32" s="3"/>
    </row>
    <row r="33" ht="26.4" spans="1:15">
      <c r="A33" s="3">
        <v>5</v>
      </c>
      <c r="B33" s="3">
        <v>4</v>
      </c>
      <c r="C33" s="3">
        <v>32</v>
      </c>
      <c r="D33" s="12">
        <f>'Tong quan'!$B$3+(C33-1)</f>
        <v>46222</v>
      </c>
      <c r="E33" s="4" t="s">
        <v>194</v>
      </c>
      <c r="F33" s="4" t="s">
        <v>195</v>
      </c>
      <c r="G33" s="4" t="s">
        <v>196</v>
      </c>
      <c r="H33" s="3" t="s">
        <v>103</v>
      </c>
      <c r="I33" s="3"/>
      <c r="J33" s="4"/>
      <c r="K33" s="3"/>
      <c r="L33" s="3" t="s">
        <v>197</v>
      </c>
      <c r="M33" s="3" t="s">
        <v>91</v>
      </c>
      <c r="N33" s="3" t="s">
        <v>103</v>
      </c>
      <c r="O33" s="3"/>
    </row>
    <row r="34" ht="26.4" spans="1:15">
      <c r="A34" s="3">
        <v>5</v>
      </c>
      <c r="B34" s="3">
        <v>5</v>
      </c>
      <c r="C34" s="3">
        <v>33</v>
      </c>
      <c r="D34" s="12">
        <f>'Tong quan'!$B$3+(C34-1)</f>
        <v>46223</v>
      </c>
      <c r="E34" s="4" t="s">
        <v>198</v>
      </c>
      <c r="F34" s="4" t="s">
        <v>199</v>
      </c>
      <c r="G34" s="4" t="s">
        <v>200</v>
      </c>
      <c r="H34" s="3" t="s">
        <v>103</v>
      </c>
      <c r="I34" s="3"/>
      <c r="J34" s="4"/>
      <c r="K34" s="3"/>
      <c r="L34" s="3" t="s">
        <v>201</v>
      </c>
      <c r="M34" s="3" t="s">
        <v>91</v>
      </c>
      <c r="N34" s="3" t="s">
        <v>103</v>
      </c>
      <c r="O34" s="3"/>
    </row>
    <row r="35" ht="26.4" spans="1:15">
      <c r="A35" s="3">
        <v>5</v>
      </c>
      <c r="B35" s="3">
        <v>6</v>
      </c>
      <c r="C35" s="3">
        <v>34</v>
      </c>
      <c r="D35" s="12">
        <f>'Tong quan'!$B$3+(C35-1)</f>
        <v>46224</v>
      </c>
      <c r="E35" s="4" t="s">
        <v>202</v>
      </c>
      <c r="F35" s="4" t="s">
        <v>98</v>
      </c>
      <c r="G35" s="4" t="s">
        <v>203</v>
      </c>
      <c r="H35" s="3" t="s">
        <v>103</v>
      </c>
      <c r="I35" s="3"/>
      <c r="J35" s="4"/>
      <c r="K35" s="3"/>
      <c r="L35" s="3" t="s">
        <v>204</v>
      </c>
      <c r="M35" s="3" t="s">
        <v>91</v>
      </c>
      <c r="N35" s="3" t="s">
        <v>103</v>
      </c>
      <c r="O35" s="3"/>
    </row>
    <row r="36" ht="26.4" spans="1:15">
      <c r="A36" s="13">
        <v>5</v>
      </c>
      <c r="B36" s="13">
        <v>7</v>
      </c>
      <c r="C36" s="13">
        <v>35</v>
      </c>
      <c r="D36" s="14">
        <f>'Tong quan'!$B$3+(C36-1)</f>
        <v>46225</v>
      </c>
      <c r="E36" s="15" t="s">
        <v>205</v>
      </c>
      <c r="F36" s="15" t="s">
        <v>98</v>
      </c>
      <c r="G36" s="15" t="s">
        <v>206</v>
      </c>
      <c r="H36" s="13" t="s">
        <v>103</v>
      </c>
      <c r="I36" s="13"/>
      <c r="J36" s="15"/>
      <c r="K36" s="13"/>
      <c r="L36" s="13" t="s">
        <v>207</v>
      </c>
      <c r="M36" s="13" t="s">
        <v>74</v>
      </c>
      <c r="N36" s="13" t="s">
        <v>103</v>
      </c>
      <c r="O36" s="13"/>
    </row>
    <row r="37" ht="26.4" spans="1:15">
      <c r="A37" s="3">
        <v>6</v>
      </c>
      <c r="B37" s="3">
        <v>1</v>
      </c>
      <c r="C37" s="3">
        <v>36</v>
      </c>
      <c r="D37" s="12">
        <f>'Tong quan'!$B$3+(C37-1)</f>
        <v>46226</v>
      </c>
      <c r="E37" s="4" t="s">
        <v>208</v>
      </c>
      <c r="F37" s="4" t="s">
        <v>209</v>
      </c>
      <c r="G37" s="4" t="s">
        <v>210</v>
      </c>
      <c r="H37" s="3" t="s">
        <v>103</v>
      </c>
      <c r="I37" s="3"/>
      <c r="J37" s="4"/>
      <c r="K37" s="3" t="s">
        <v>26</v>
      </c>
      <c r="L37" s="3" t="s">
        <v>211</v>
      </c>
      <c r="M37" s="3" t="s">
        <v>74</v>
      </c>
      <c r="N37" s="3" t="s">
        <v>103</v>
      </c>
      <c r="O37" s="3"/>
    </row>
    <row r="38" spans="1:15">
      <c r="A38" s="3">
        <v>6</v>
      </c>
      <c r="B38" s="3">
        <v>2</v>
      </c>
      <c r="C38" s="3">
        <v>37</v>
      </c>
      <c r="D38" s="12">
        <f>'Tong quan'!$B$3+(C38-1)</f>
        <v>46227</v>
      </c>
      <c r="E38" s="4" t="s">
        <v>212</v>
      </c>
      <c r="F38" s="4" t="s">
        <v>122</v>
      </c>
      <c r="G38" s="4" t="s">
        <v>213</v>
      </c>
      <c r="H38" s="3" t="s">
        <v>103</v>
      </c>
      <c r="I38" s="3"/>
      <c r="J38" s="4"/>
      <c r="K38" s="3"/>
      <c r="L38" s="3" t="s">
        <v>214</v>
      </c>
      <c r="M38" s="3" t="s">
        <v>74</v>
      </c>
      <c r="N38" s="3" t="s">
        <v>103</v>
      </c>
      <c r="O38" s="3"/>
    </row>
    <row r="39" ht="26.4" spans="1:15">
      <c r="A39" s="3">
        <v>6</v>
      </c>
      <c r="B39" s="3">
        <v>3</v>
      </c>
      <c r="C39" s="3">
        <v>38</v>
      </c>
      <c r="D39" s="12">
        <f>'Tong quan'!$B$3+(C39-1)</f>
        <v>46228</v>
      </c>
      <c r="E39" s="4" t="s">
        <v>215</v>
      </c>
      <c r="F39" s="4" t="s">
        <v>216</v>
      </c>
      <c r="G39" s="4" t="s">
        <v>217</v>
      </c>
      <c r="H39" s="3" t="s">
        <v>103</v>
      </c>
      <c r="I39" s="3"/>
      <c r="J39" s="4"/>
      <c r="K39" s="3"/>
      <c r="L39" s="3" t="s">
        <v>218</v>
      </c>
      <c r="M39" s="3" t="s">
        <v>74</v>
      </c>
      <c r="N39" s="3" t="s">
        <v>103</v>
      </c>
      <c r="O39" s="3"/>
    </row>
    <row r="40" ht="26.4" spans="1:15">
      <c r="A40" s="3">
        <v>6</v>
      </c>
      <c r="B40" s="3">
        <v>4</v>
      </c>
      <c r="C40" s="3">
        <v>39</v>
      </c>
      <c r="D40" s="12">
        <f>'Tong quan'!$B$3+(C40-1)</f>
        <v>46229</v>
      </c>
      <c r="E40" s="4" t="s">
        <v>219</v>
      </c>
      <c r="F40" s="4" t="s">
        <v>220</v>
      </c>
      <c r="G40" s="4" t="s">
        <v>221</v>
      </c>
      <c r="H40" s="3" t="s">
        <v>103</v>
      </c>
      <c r="I40" s="3"/>
      <c r="J40" s="4"/>
      <c r="K40" s="3"/>
      <c r="L40" s="3" t="s">
        <v>222</v>
      </c>
      <c r="M40" s="3" t="s">
        <v>74</v>
      </c>
      <c r="N40" s="3" t="s">
        <v>103</v>
      </c>
      <c r="O40" s="3"/>
    </row>
    <row r="41" ht="26.4" spans="1:15">
      <c r="A41" s="3">
        <v>6</v>
      </c>
      <c r="B41" s="3">
        <v>5</v>
      </c>
      <c r="C41" s="3">
        <v>40</v>
      </c>
      <c r="D41" s="12">
        <f>'Tong quan'!$B$3+(C41-1)</f>
        <v>46230</v>
      </c>
      <c r="E41" s="4" t="s">
        <v>223</v>
      </c>
      <c r="F41" s="4" t="s">
        <v>224</v>
      </c>
      <c r="G41" s="4" t="s">
        <v>225</v>
      </c>
      <c r="H41" s="3" t="s">
        <v>103</v>
      </c>
      <c r="I41" s="3"/>
      <c r="J41" s="4"/>
      <c r="K41" s="3"/>
      <c r="L41" s="3" t="s">
        <v>226</v>
      </c>
      <c r="M41" s="3" t="s">
        <v>91</v>
      </c>
      <c r="N41" s="3" t="s">
        <v>103</v>
      </c>
      <c r="O41" s="3"/>
    </row>
    <row r="42" ht="26.4" spans="1:15">
      <c r="A42" s="3">
        <v>6</v>
      </c>
      <c r="B42" s="3">
        <v>6</v>
      </c>
      <c r="C42" s="3">
        <v>41</v>
      </c>
      <c r="D42" s="12">
        <f>'Tong quan'!$B$3+(C42-1)</f>
        <v>46231</v>
      </c>
      <c r="E42" s="4" t="s">
        <v>227</v>
      </c>
      <c r="F42" s="4" t="s">
        <v>98</v>
      </c>
      <c r="G42" s="4" t="s">
        <v>228</v>
      </c>
      <c r="H42" s="3" t="s">
        <v>103</v>
      </c>
      <c r="I42" s="3"/>
      <c r="J42" s="4"/>
      <c r="K42" s="3"/>
      <c r="L42" s="3" t="s">
        <v>229</v>
      </c>
      <c r="M42" s="3" t="s">
        <v>91</v>
      </c>
      <c r="N42" s="3" t="s">
        <v>103</v>
      </c>
      <c r="O42" s="3"/>
    </row>
    <row r="43" ht="26.4" spans="1:15">
      <c r="A43" s="13">
        <v>6</v>
      </c>
      <c r="B43" s="13">
        <v>7</v>
      </c>
      <c r="C43" s="13">
        <v>42</v>
      </c>
      <c r="D43" s="14">
        <f>'Tong quan'!$B$3+(C43-1)</f>
        <v>46232</v>
      </c>
      <c r="E43" s="15" t="s">
        <v>230</v>
      </c>
      <c r="F43" s="15" t="s">
        <v>98</v>
      </c>
      <c r="G43" s="15" t="s">
        <v>231</v>
      </c>
      <c r="H43" s="13" t="s">
        <v>103</v>
      </c>
      <c r="I43" s="13"/>
      <c r="J43" s="15"/>
      <c r="K43" s="13"/>
      <c r="L43" s="13" t="s">
        <v>232</v>
      </c>
      <c r="M43" s="13" t="s">
        <v>91</v>
      </c>
      <c r="N43" s="13" t="s">
        <v>103</v>
      </c>
      <c r="O43" s="13"/>
    </row>
    <row r="44" ht="26.4" spans="1:15">
      <c r="A44" s="3">
        <v>7</v>
      </c>
      <c r="B44" s="3">
        <v>1</v>
      </c>
      <c r="C44" s="3">
        <v>43</v>
      </c>
      <c r="D44" s="12">
        <f>'Tong quan'!$B$3+(C44-1)</f>
        <v>46233</v>
      </c>
      <c r="E44" s="4" t="s">
        <v>233</v>
      </c>
      <c r="F44" s="4" t="s">
        <v>234</v>
      </c>
      <c r="G44" s="4" t="s">
        <v>235</v>
      </c>
      <c r="H44" s="3" t="s">
        <v>103</v>
      </c>
      <c r="I44" s="3"/>
      <c r="J44" s="4"/>
      <c r="K44" s="3" t="s">
        <v>28</v>
      </c>
      <c r="L44" s="3" t="s">
        <v>236</v>
      </c>
      <c r="M44" s="3" t="s">
        <v>91</v>
      </c>
      <c r="N44" s="3" t="s">
        <v>103</v>
      </c>
      <c r="O44" s="3"/>
    </row>
    <row r="45" ht="26.4" spans="1:15">
      <c r="A45" s="3">
        <v>7</v>
      </c>
      <c r="B45" s="3">
        <v>2</v>
      </c>
      <c r="C45" s="3">
        <v>44</v>
      </c>
      <c r="D45" s="12">
        <f>'Tong quan'!$B$3+(C45-1)</f>
        <v>46234</v>
      </c>
      <c r="E45" s="4" t="s">
        <v>237</v>
      </c>
      <c r="F45" s="4" t="s">
        <v>238</v>
      </c>
      <c r="G45" s="4" t="s">
        <v>239</v>
      </c>
      <c r="H45" s="3" t="s">
        <v>103</v>
      </c>
      <c r="I45" s="3"/>
      <c r="J45" s="4"/>
      <c r="K45" s="3"/>
      <c r="L45" s="3" t="s">
        <v>240</v>
      </c>
      <c r="M45" s="3" t="s">
        <v>91</v>
      </c>
      <c r="N45" s="3" t="s">
        <v>103</v>
      </c>
      <c r="O45" s="3"/>
    </row>
    <row r="46" ht="26.4" spans="1:15">
      <c r="A46" s="3">
        <v>7</v>
      </c>
      <c r="B46" s="3">
        <v>3</v>
      </c>
      <c r="C46" s="3">
        <v>45</v>
      </c>
      <c r="D46" s="12">
        <f>'Tong quan'!$B$3+(C46-1)</f>
        <v>46235</v>
      </c>
      <c r="E46" s="4" t="s">
        <v>241</v>
      </c>
      <c r="F46" s="4" t="s">
        <v>242</v>
      </c>
      <c r="G46" s="4" t="s">
        <v>243</v>
      </c>
      <c r="H46" s="3" t="s">
        <v>103</v>
      </c>
      <c r="I46" s="3"/>
      <c r="J46" s="4"/>
      <c r="K46" s="3"/>
      <c r="L46" s="3" t="s">
        <v>244</v>
      </c>
      <c r="M46" s="3" t="s">
        <v>91</v>
      </c>
      <c r="N46" s="3" t="s">
        <v>103</v>
      </c>
      <c r="O46" s="3"/>
    </row>
    <row r="47" ht="26.4" spans="1:15">
      <c r="A47" s="3">
        <v>7</v>
      </c>
      <c r="B47" s="3">
        <v>4</v>
      </c>
      <c r="C47" s="3">
        <v>46</v>
      </c>
      <c r="D47" s="12">
        <f>'Tong quan'!$B$3+(C47-1)</f>
        <v>46236</v>
      </c>
      <c r="E47" s="4" t="s">
        <v>245</v>
      </c>
      <c r="F47" s="4" t="s">
        <v>246</v>
      </c>
      <c r="G47" s="4" t="s">
        <v>247</v>
      </c>
      <c r="H47" s="3" t="s">
        <v>103</v>
      </c>
      <c r="I47" s="3"/>
      <c r="J47" s="4"/>
      <c r="K47" s="3"/>
      <c r="L47" s="3" t="s">
        <v>248</v>
      </c>
      <c r="M47" s="3" t="s">
        <v>91</v>
      </c>
      <c r="N47" s="3" t="s">
        <v>103</v>
      </c>
      <c r="O47" s="3"/>
    </row>
    <row r="48" ht="26.4" spans="1:15">
      <c r="A48" s="3">
        <v>7</v>
      </c>
      <c r="B48" s="3">
        <v>5</v>
      </c>
      <c r="C48" s="3">
        <v>47</v>
      </c>
      <c r="D48" s="12">
        <f>'Tong quan'!$B$3+(C48-1)</f>
        <v>46237</v>
      </c>
      <c r="E48" s="4" t="s">
        <v>249</v>
      </c>
      <c r="F48" s="4" t="s">
        <v>250</v>
      </c>
      <c r="G48" s="4" t="s">
        <v>251</v>
      </c>
      <c r="H48" s="3" t="s">
        <v>103</v>
      </c>
      <c r="I48" s="3"/>
      <c r="J48" s="4"/>
      <c r="K48" s="3"/>
      <c r="L48" s="3" t="s">
        <v>252</v>
      </c>
      <c r="M48" s="3" t="s">
        <v>74</v>
      </c>
      <c r="N48" s="3" t="s">
        <v>103</v>
      </c>
      <c r="O48" s="3"/>
    </row>
    <row r="49" ht="26.4" spans="1:15">
      <c r="A49" s="3">
        <v>7</v>
      </c>
      <c r="B49" s="3">
        <v>6</v>
      </c>
      <c r="C49" s="3">
        <v>48</v>
      </c>
      <c r="D49" s="12">
        <f>'Tong quan'!$B$3+(C49-1)</f>
        <v>46238</v>
      </c>
      <c r="E49" s="4" t="s">
        <v>253</v>
      </c>
      <c r="F49" s="4" t="s">
        <v>98</v>
      </c>
      <c r="G49" s="4" t="s">
        <v>254</v>
      </c>
      <c r="H49" s="3" t="s">
        <v>103</v>
      </c>
      <c r="I49" s="3"/>
      <c r="J49" s="4"/>
      <c r="K49" s="3"/>
      <c r="L49" s="3" t="s">
        <v>255</v>
      </c>
      <c r="M49" s="3" t="s">
        <v>91</v>
      </c>
      <c r="N49" s="3" t="s">
        <v>103</v>
      </c>
      <c r="O49" s="3"/>
    </row>
    <row r="50" ht="26.4" spans="1:15">
      <c r="A50" s="13">
        <v>7</v>
      </c>
      <c r="B50" s="13">
        <v>7</v>
      </c>
      <c r="C50" s="13">
        <v>49</v>
      </c>
      <c r="D50" s="14">
        <f>'Tong quan'!$B$3+(C50-1)</f>
        <v>46239</v>
      </c>
      <c r="E50" s="15" t="s">
        <v>256</v>
      </c>
      <c r="F50" s="15" t="s">
        <v>98</v>
      </c>
      <c r="G50" s="15" t="s">
        <v>257</v>
      </c>
      <c r="H50" s="13" t="s">
        <v>103</v>
      </c>
      <c r="I50" s="13"/>
      <c r="J50" s="15"/>
      <c r="K50" s="13"/>
      <c r="L50" s="13" t="s">
        <v>258</v>
      </c>
      <c r="M50" s="13" t="s">
        <v>91</v>
      </c>
      <c r="N50" s="13" t="s">
        <v>103</v>
      </c>
      <c r="O50" s="13"/>
    </row>
    <row r="51" ht="26.4" spans="1:15">
      <c r="A51" s="3">
        <v>8</v>
      </c>
      <c r="B51" s="3">
        <v>1</v>
      </c>
      <c r="C51" s="3">
        <v>50</v>
      </c>
      <c r="D51" s="12">
        <f>'Tong quan'!$B$3+(C51-1)</f>
        <v>46240</v>
      </c>
      <c r="E51" s="4" t="s">
        <v>259</v>
      </c>
      <c r="F51" s="4" t="s">
        <v>260</v>
      </c>
      <c r="G51" s="4" t="s">
        <v>261</v>
      </c>
      <c r="H51" s="3" t="s">
        <v>103</v>
      </c>
      <c r="I51" s="3"/>
      <c r="J51" s="4"/>
      <c r="K51" s="3" t="s">
        <v>30</v>
      </c>
      <c r="L51" s="3" t="s">
        <v>262</v>
      </c>
      <c r="M51" s="3" t="s">
        <v>91</v>
      </c>
      <c r="N51" s="3" t="s">
        <v>103</v>
      </c>
      <c r="O51" s="3"/>
    </row>
    <row r="52" ht="26.4" spans="1:15">
      <c r="A52" s="3">
        <v>8</v>
      </c>
      <c r="B52" s="3">
        <v>2</v>
      </c>
      <c r="C52" s="3">
        <v>51</v>
      </c>
      <c r="D52" s="12">
        <f>'Tong quan'!$B$3+(C52-1)</f>
        <v>46241</v>
      </c>
      <c r="E52" s="4" t="s">
        <v>263</v>
      </c>
      <c r="F52" s="4" t="s">
        <v>264</v>
      </c>
      <c r="G52" s="4" t="s">
        <v>265</v>
      </c>
      <c r="H52" s="3" t="s">
        <v>103</v>
      </c>
      <c r="I52" s="3"/>
      <c r="J52" s="4"/>
      <c r="K52" s="3"/>
      <c r="L52" s="3" t="s">
        <v>266</v>
      </c>
      <c r="M52" s="3" t="s">
        <v>91</v>
      </c>
      <c r="N52" s="3" t="s">
        <v>103</v>
      </c>
      <c r="O52" s="3"/>
    </row>
    <row r="53" ht="26.4" spans="1:15">
      <c r="A53" s="3">
        <v>8</v>
      </c>
      <c r="B53" s="3">
        <v>3</v>
      </c>
      <c r="C53" s="3">
        <v>52</v>
      </c>
      <c r="D53" s="12">
        <f>'Tong quan'!$B$3+(C53-1)</f>
        <v>46242</v>
      </c>
      <c r="E53" s="4" t="s">
        <v>267</v>
      </c>
      <c r="F53" s="4" t="s">
        <v>98</v>
      </c>
      <c r="G53" s="4" t="s">
        <v>268</v>
      </c>
      <c r="H53" s="3" t="s">
        <v>103</v>
      </c>
      <c r="I53" s="3"/>
      <c r="J53" s="4"/>
      <c r="K53" s="3"/>
      <c r="L53" s="3" t="s">
        <v>269</v>
      </c>
      <c r="M53" s="3" t="s">
        <v>91</v>
      </c>
      <c r="N53" s="3" t="s">
        <v>103</v>
      </c>
      <c r="O53" s="3"/>
    </row>
    <row r="54" ht="26.4" spans="1:15">
      <c r="A54" s="3">
        <v>8</v>
      </c>
      <c r="B54" s="3">
        <v>4</v>
      </c>
      <c r="C54" s="3">
        <v>53</v>
      </c>
      <c r="D54" s="12">
        <f>'Tong quan'!$B$3+(C54-1)</f>
        <v>46243</v>
      </c>
      <c r="E54" s="4" t="s">
        <v>270</v>
      </c>
      <c r="F54" s="4" t="s">
        <v>98</v>
      </c>
      <c r="G54" s="4" t="s">
        <v>271</v>
      </c>
      <c r="H54" s="3" t="s">
        <v>103</v>
      </c>
      <c r="I54" s="3"/>
      <c r="J54" s="4"/>
      <c r="K54" s="3"/>
      <c r="L54" s="3" t="s">
        <v>272</v>
      </c>
      <c r="M54" s="3" t="s">
        <v>91</v>
      </c>
      <c r="N54" s="3" t="s">
        <v>103</v>
      </c>
      <c r="O54" s="3"/>
    </row>
    <row r="55" ht="26.4" spans="1:15">
      <c r="A55" s="3">
        <v>8</v>
      </c>
      <c r="B55" s="3">
        <v>5</v>
      </c>
      <c r="C55" s="3">
        <v>54</v>
      </c>
      <c r="D55" s="12">
        <f>'Tong quan'!$B$3+(C55-1)</f>
        <v>46244</v>
      </c>
      <c r="E55" s="4" t="s">
        <v>273</v>
      </c>
      <c r="F55" s="4" t="s">
        <v>250</v>
      </c>
      <c r="G55" s="4" t="s">
        <v>274</v>
      </c>
      <c r="H55" s="3" t="s">
        <v>103</v>
      </c>
      <c r="I55" s="3"/>
      <c r="J55" s="4"/>
      <c r="K55" s="3"/>
      <c r="L55" s="3" t="s">
        <v>275</v>
      </c>
      <c r="M55" s="3" t="s">
        <v>91</v>
      </c>
      <c r="N55" s="3" t="s">
        <v>103</v>
      </c>
      <c r="O55" s="3"/>
    </row>
    <row r="56" ht="26.4" spans="1:15">
      <c r="A56" s="3">
        <v>8</v>
      </c>
      <c r="B56" s="3">
        <v>6</v>
      </c>
      <c r="C56" s="3">
        <v>55</v>
      </c>
      <c r="D56" s="12">
        <f>'Tong quan'!$B$3+(C56-1)</f>
        <v>46245</v>
      </c>
      <c r="E56" s="4" t="s">
        <v>276</v>
      </c>
      <c r="F56" s="4" t="s">
        <v>277</v>
      </c>
      <c r="G56" s="4" t="s">
        <v>278</v>
      </c>
      <c r="H56" s="3" t="s">
        <v>103</v>
      </c>
      <c r="I56" s="3"/>
      <c r="J56" s="4"/>
      <c r="K56" s="3"/>
      <c r="L56" s="3" t="s">
        <v>279</v>
      </c>
      <c r="M56" s="3" t="s">
        <v>91</v>
      </c>
      <c r="N56" s="3" t="s">
        <v>103</v>
      </c>
      <c r="O56" s="3"/>
    </row>
    <row r="57" ht="26.4" spans="1:15">
      <c r="A57" s="13">
        <v>8</v>
      </c>
      <c r="B57" s="13">
        <v>7</v>
      </c>
      <c r="C57" s="13">
        <v>56</v>
      </c>
      <c r="D57" s="14">
        <f>'Tong quan'!$B$3+(C57-1)</f>
        <v>46246</v>
      </c>
      <c r="E57" s="15" t="s">
        <v>280</v>
      </c>
      <c r="F57" s="15" t="s">
        <v>98</v>
      </c>
      <c r="G57" s="15" t="s">
        <v>281</v>
      </c>
      <c r="H57" s="13" t="s">
        <v>103</v>
      </c>
      <c r="I57" s="13"/>
      <c r="J57" s="15"/>
      <c r="K57" s="13"/>
      <c r="L57" s="13" t="s">
        <v>282</v>
      </c>
      <c r="M57" s="13" t="s">
        <v>157</v>
      </c>
      <c r="N57" s="13" t="s">
        <v>103</v>
      </c>
      <c r="O57" s="13"/>
    </row>
    <row r="58" ht="26.4" spans="1:15">
      <c r="A58" s="3">
        <v>9</v>
      </c>
      <c r="B58" s="3">
        <v>1</v>
      </c>
      <c r="C58" s="3">
        <v>57</v>
      </c>
      <c r="D58" s="12">
        <f>'Tong quan'!$B$3+(C58-1)</f>
        <v>46247</v>
      </c>
      <c r="E58" s="4" t="s">
        <v>283</v>
      </c>
      <c r="F58" s="4" t="s">
        <v>284</v>
      </c>
      <c r="G58" s="4" t="s">
        <v>285</v>
      </c>
      <c r="H58" s="3" t="s">
        <v>103</v>
      </c>
      <c r="I58" s="3"/>
      <c r="J58" s="4"/>
      <c r="K58" s="3" t="s">
        <v>32</v>
      </c>
      <c r="L58" s="3" t="s">
        <v>286</v>
      </c>
      <c r="M58" s="3" t="s">
        <v>91</v>
      </c>
      <c r="N58" s="3" t="s">
        <v>103</v>
      </c>
      <c r="O58" s="3"/>
    </row>
    <row r="59" ht="26.4" spans="1:15">
      <c r="A59" s="3">
        <v>9</v>
      </c>
      <c r="B59" s="3">
        <v>2</v>
      </c>
      <c r="C59" s="3">
        <v>58</v>
      </c>
      <c r="D59" s="12">
        <f>'Tong quan'!$B$3+(C59-1)</f>
        <v>46248</v>
      </c>
      <c r="E59" s="4" t="s">
        <v>287</v>
      </c>
      <c r="F59" s="4" t="s">
        <v>288</v>
      </c>
      <c r="G59" s="4" t="s">
        <v>289</v>
      </c>
      <c r="H59" s="3" t="s">
        <v>103</v>
      </c>
      <c r="I59" s="3"/>
      <c r="J59" s="4"/>
      <c r="K59" s="3"/>
      <c r="L59" s="3" t="s">
        <v>290</v>
      </c>
      <c r="M59" s="3" t="s">
        <v>91</v>
      </c>
      <c r="N59" s="3" t="s">
        <v>103</v>
      </c>
      <c r="O59" s="3"/>
    </row>
    <row r="60" ht="26.4" spans="1:15">
      <c r="A60" s="3">
        <v>9</v>
      </c>
      <c r="B60" s="3">
        <v>3</v>
      </c>
      <c r="C60" s="3">
        <v>59</v>
      </c>
      <c r="D60" s="12">
        <f>'Tong quan'!$B$3+(C60-1)</f>
        <v>46249</v>
      </c>
      <c r="E60" s="4" t="s">
        <v>291</v>
      </c>
      <c r="F60" s="4" t="s">
        <v>292</v>
      </c>
      <c r="G60" s="4" t="s">
        <v>293</v>
      </c>
      <c r="H60" s="3" t="s">
        <v>103</v>
      </c>
      <c r="I60" s="3"/>
      <c r="J60" s="4"/>
      <c r="K60" s="3"/>
      <c r="L60" s="3" t="s">
        <v>294</v>
      </c>
      <c r="M60" s="3" t="s">
        <v>91</v>
      </c>
      <c r="N60" s="3" t="s">
        <v>103</v>
      </c>
      <c r="O60" s="3"/>
    </row>
    <row r="61" ht="26.4" spans="1:15">
      <c r="A61" s="3">
        <v>9</v>
      </c>
      <c r="B61" s="3">
        <v>4</v>
      </c>
      <c r="C61" s="3">
        <v>60</v>
      </c>
      <c r="D61" s="12">
        <f>'Tong quan'!$B$3+(C61-1)</f>
        <v>46250</v>
      </c>
      <c r="E61" s="4" t="s">
        <v>295</v>
      </c>
      <c r="F61" s="4" t="s">
        <v>296</v>
      </c>
      <c r="G61" s="4" t="s">
        <v>297</v>
      </c>
      <c r="H61" s="3" t="s">
        <v>103</v>
      </c>
      <c r="I61" s="3"/>
      <c r="J61" s="4"/>
      <c r="K61" s="3"/>
      <c r="L61" s="3" t="s">
        <v>298</v>
      </c>
      <c r="M61" s="3" t="s">
        <v>91</v>
      </c>
      <c r="N61" s="3" t="s">
        <v>103</v>
      </c>
      <c r="O61" s="3"/>
    </row>
    <row r="62" ht="26.4" spans="1:15">
      <c r="A62" s="3">
        <v>9</v>
      </c>
      <c r="B62" s="3">
        <v>5</v>
      </c>
      <c r="C62" s="3">
        <v>61</v>
      </c>
      <c r="D62" s="12">
        <f>'Tong quan'!$B$3+(C62-1)</f>
        <v>46251</v>
      </c>
      <c r="E62" s="4" t="s">
        <v>299</v>
      </c>
      <c r="F62" s="4" t="s">
        <v>98</v>
      </c>
      <c r="G62" s="4" t="s">
        <v>300</v>
      </c>
      <c r="H62" s="3" t="s">
        <v>103</v>
      </c>
      <c r="I62" s="3"/>
      <c r="J62" s="4"/>
      <c r="K62" s="3"/>
      <c r="L62" s="3" t="s">
        <v>301</v>
      </c>
      <c r="M62" s="3" t="s">
        <v>91</v>
      </c>
      <c r="N62" s="3" t="s">
        <v>103</v>
      </c>
      <c r="O62" s="3"/>
    </row>
    <row r="63" ht="26.4" spans="1:15">
      <c r="A63" s="3">
        <v>9</v>
      </c>
      <c r="B63" s="3">
        <v>6</v>
      </c>
      <c r="C63" s="3">
        <v>62</v>
      </c>
      <c r="D63" s="12">
        <f>'Tong quan'!$B$3+(C63-1)</f>
        <v>46252</v>
      </c>
      <c r="E63" s="4" t="s">
        <v>302</v>
      </c>
      <c r="F63" s="4" t="s">
        <v>98</v>
      </c>
      <c r="G63" s="4" t="s">
        <v>303</v>
      </c>
      <c r="H63" s="3" t="s">
        <v>103</v>
      </c>
      <c r="I63" s="3"/>
      <c r="J63" s="4"/>
      <c r="K63" s="3"/>
      <c r="L63" s="3" t="s">
        <v>304</v>
      </c>
      <c r="M63" s="3" t="s">
        <v>91</v>
      </c>
      <c r="N63" s="3" t="s">
        <v>103</v>
      </c>
      <c r="O63" s="3"/>
    </row>
    <row r="64" ht="26.4" spans="1:15">
      <c r="A64" s="13">
        <v>9</v>
      </c>
      <c r="B64" s="13">
        <v>7</v>
      </c>
      <c r="C64" s="13">
        <v>63</v>
      </c>
      <c r="D64" s="14">
        <f>'Tong quan'!$B$3+(C64-1)</f>
        <v>46253</v>
      </c>
      <c r="E64" s="15" t="s">
        <v>305</v>
      </c>
      <c r="F64" s="15" t="s">
        <v>98</v>
      </c>
      <c r="G64" s="15" t="s">
        <v>306</v>
      </c>
      <c r="H64" s="13" t="s">
        <v>103</v>
      </c>
      <c r="I64" s="13"/>
      <c r="J64" s="15"/>
      <c r="K64" s="13"/>
      <c r="L64" s="13" t="s">
        <v>307</v>
      </c>
      <c r="M64" s="13" t="s">
        <v>91</v>
      </c>
      <c r="N64" s="13" t="s">
        <v>103</v>
      </c>
      <c r="O64" s="13"/>
    </row>
    <row r="65" ht="26.4" spans="1:15">
      <c r="A65" s="3">
        <v>10</v>
      </c>
      <c r="B65" s="3">
        <v>1</v>
      </c>
      <c r="C65" s="3">
        <v>64</v>
      </c>
      <c r="D65" s="12">
        <f>'Tong quan'!$B$3+(C65-1)</f>
        <v>46254</v>
      </c>
      <c r="E65" s="4" t="s">
        <v>308</v>
      </c>
      <c r="F65" s="4" t="s">
        <v>309</v>
      </c>
      <c r="G65" s="4" t="s">
        <v>310</v>
      </c>
      <c r="H65" s="3" t="s">
        <v>103</v>
      </c>
      <c r="I65" s="3"/>
      <c r="J65" s="4"/>
      <c r="K65" s="3" t="s">
        <v>34</v>
      </c>
      <c r="L65" s="3" t="s">
        <v>311</v>
      </c>
      <c r="M65" s="3" t="s">
        <v>91</v>
      </c>
      <c r="N65" s="3" t="s">
        <v>103</v>
      </c>
      <c r="O65" s="3"/>
    </row>
    <row r="66" ht="26.4" spans="1:15">
      <c r="A66" s="3">
        <v>10</v>
      </c>
      <c r="B66" s="3">
        <v>2</v>
      </c>
      <c r="C66" s="3">
        <v>65</v>
      </c>
      <c r="D66" s="12">
        <f>'Tong quan'!$B$3+(C66-1)</f>
        <v>46255</v>
      </c>
      <c r="E66" s="4" t="s">
        <v>312</v>
      </c>
      <c r="F66" s="4" t="s">
        <v>313</v>
      </c>
      <c r="G66" s="4" t="s">
        <v>314</v>
      </c>
      <c r="H66" s="3" t="s">
        <v>103</v>
      </c>
      <c r="I66" s="3"/>
      <c r="J66" s="4"/>
      <c r="K66" s="3"/>
      <c r="L66" s="3" t="s">
        <v>315</v>
      </c>
      <c r="M66" s="3" t="s">
        <v>91</v>
      </c>
      <c r="N66" s="3" t="s">
        <v>103</v>
      </c>
      <c r="O66" s="3"/>
    </row>
    <row r="67" ht="26.4" spans="1:15">
      <c r="A67" s="3">
        <v>10</v>
      </c>
      <c r="B67" s="3">
        <v>3</v>
      </c>
      <c r="C67" s="3">
        <v>66</v>
      </c>
      <c r="D67" s="12">
        <f>'Tong quan'!$B$3+(C67-1)</f>
        <v>46256</v>
      </c>
      <c r="E67" s="4" t="s">
        <v>316</v>
      </c>
      <c r="F67" s="4" t="s">
        <v>317</v>
      </c>
      <c r="G67" s="4" t="s">
        <v>318</v>
      </c>
      <c r="H67" s="3" t="s">
        <v>103</v>
      </c>
      <c r="I67" s="3"/>
      <c r="J67" s="4"/>
      <c r="K67" s="3"/>
      <c r="L67" s="3" t="s">
        <v>319</v>
      </c>
      <c r="M67" s="3" t="s">
        <v>91</v>
      </c>
      <c r="N67" s="3" t="s">
        <v>103</v>
      </c>
      <c r="O67" s="3"/>
    </row>
    <row r="68" spans="1:15">
      <c r="A68" s="3">
        <v>10</v>
      </c>
      <c r="B68" s="3">
        <v>4</v>
      </c>
      <c r="C68" s="3">
        <v>67</v>
      </c>
      <c r="D68" s="12">
        <f>'Tong quan'!$B$3+(C68-1)</f>
        <v>46257</v>
      </c>
      <c r="E68" s="4" t="s">
        <v>320</v>
      </c>
      <c r="F68" s="4" t="s">
        <v>321</v>
      </c>
      <c r="G68" s="4" t="s">
        <v>322</v>
      </c>
      <c r="H68" s="3" t="s">
        <v>103</v>
      </c>
      <c r="I68" s="3"/>
      <c r="J68" s="4"/>
      <c r="K68" s="3"/>
      <c r="L68" s="3" t="s">
        <v>323</v>
      </c>
      <c r="M68" s="3" t="s">
        <v>91</v>
      </c>
      <c r="N68" s="3" t="s">
        <v>103</v>
      </c>
      <c r="O68" s="3"/>
    </row>
    <row r="69" ht="26.4" spans="1:15">
      <c r="A69" s="3">
        <v>10</v>
      </c>
      <c r="B69" s="3">
        <v>5</v>
      </c>
      <c r="C69" s="3">
        <v>68</v>
      </c>
      <c r="D69" s="12">
        <f>'Tong quan'!$B$3+(C69-1)</f>
        <v>46258</v>
      </c>
      <c r="E69" s="4" t="s">
        <v>324</v>
      </c>
      <c r="F69" s="4" t="s">
        <v>98</v>
      </c>
      <c r="G69" s="4" t="s">
        <v>325</v>
      </c>
      <c r="H69" s="3" t="s">
        <v>103</v>
      </c>
      <c r="I69" s="3"/>
      <c r="J69" s="4"/>
      <c r="K69" s="3"/>
      <c r="L69" s="3" t="s">
        <v>326</v>
      </c>
      <c r="M69" s="3" t="s">
        <v>157</v>
      </c>
      <c r="N69" s="3" t="s">
        <v>103</v>
      </c>
      <c r="O69" s="3"/>
    </row>
    <row r="70" ht="26.4" spans="1:15">
      <c r="A70" s="3">
        <v>10</v>
      </c>
      <c r="B70" s="3">
        <v>6</v>
      </c>
      <c r="C70" s="3">
        <v>69</v>
      </c>
      <c r="D70" s="12">
        <f>'Tong quan'!$B$3+(C70-1)</f>
        <v>46259</v>
      </c>
      <c r="E70" s="4" t="s">
        <v>327</v>
      </c>
      <c r="F70" s="4" t="s">
        <v>98</v>
      </c>
      <c r="G70" s="4" t="s">
        <v>328</v>
      </c>
      <c r="H70" s="3" t="s">
        <v>103</v>
      </c>
      <c r="I70" s="3"/>
      <c r="J70" s="4"/>
      <c r="K70" s="3"/>
      <c r="L70" s="3" t="s">
        <v>329</v>
      </c>
      <c r="M70" s="3" t="s">
        <v>157</v>
      </c>
      <c r="N70" s="3" t="s">
        <v>103</v>
      </c>
      <c r="O70" s="3"/>
    </row>
    <row r="71" ht="26.4" spans="1:15">
      <c r="A71" s="13">
        <v>10</v>
      </c>
      <c r="B71" s="13">
        <v>7</v>
      </c>
      <c r="C71" s="13">
        <v>70</v>
      </c>
      <c r="D71" s="14">
        <f>'Tong quan'!$B$3+(C71-1)</f>
        <v>46260</v>
      </c>
      <c r="E71" s="15" t="s">
        <v>330</v>
      </c>
      <c r="F71" s="15" t="s">
        <v>98</v>
      </c>
      <c r="G71" s="15" t="s">
        <v>331</v>
      </c>
      <c r="H71" s="13" t="s">
        <v>103</v>
      </c>
      <c r="I71" s="13"/>
      <c r="J71" s="15"/>
      <c r="K71" s="13"/>
      <c r="L71" s="13" t="s">
        <v>332</v>
      </c>
      <c r="M71" s="13" t="s">
        <v>91</v>
      </c>
      <c r="N71" s="13" t="s">
        <v>103</v>
      </c>
      <c r="O71" s="13"/>
    </row>
    <row r="72" ht="26.4" spans="1:15">
      <c r="A72" s="3">
        <v>11</v>
      </c>
      <c r="B72" s="3">
        <v>1</v>
      </c>
      <c r="C72" s="3">
        <v>71</v>
      </c>
      <c r="D72" s="12">
        <f>'Tong quan'!$B$3+(C72-1)</f>
        <v>46261</v>
      </c>
      <c r="E72" s="4" t="s">
        <v>333</v>
      </c>
      <c r="F72" s="4" t="s">
        <v>334</v>
      </c>
      <c r="G72" s="4" t="s">
        <v>335</v>
      </c>
      <c r="H72" s="3" t="s">
        <v>103</v>
      </c>
      <c r="I72" s="3"/>
      <c r="J72" s="4"/>
      <c r="K72" s="3" t="s">
        <v>36</v>
      </c>
      <c r="L72" s="3" t="s">
        <v>336</v>
      </c>
      <c r="M72" s="3" t="s">
        <v>74</v>
      </c>
      <c r="N72" s="3" t="s">
        <v>103</v>
      </c>
      <c r="O72" s="3"/>
    </row>
    <row r="73" ht="26.4" spans="1:15">
      <c r="A73" s="3">
        <v>11</v>
      </c>
      <c r="B73" s="3">
        <v>2</v>
      </c>
      <c r="C73" s="3">
        <v>72</v>
      </c>
      <c r="D73" s="12">
        <f>'Tong quan'!$B$3+(C73-1)</f>
        <v>46262</v>
      </c>
      <c r="E73" s="4" t="s">
        <v>337</v>
      </c>
      <c r="F73" s="4" t="s">
        <v>338</v>
      </c>
      <c r="G73" s="4" t="s">
        <v>339</v>
      </c>
      <c r="H73" s="3" t="s">
        <v>103</v>
      </c>
      <c r="I73" s="3"/>
      <c r="J73" s="4"/>
      <c r="K73" s="3"/>
      <c r="L73" s="3" t="s">
        <v>340</v>
      </c>
      <c r="M73" s="3" t="s">
        <v>91</v>
      </c>
      <c r="N73" s="3" t="s">
        <v>103</v>
      </c>
      <c r="O73" s="3"/>
    </row>
    <row r="74" ht="26.4" spans="1:15">
      <c r="A74" s="3">
        <v>11</v>
      </c>
      <c r="B74" s="3">
        <v>3</v>
      </c>
      <c r="C74" s="3">
        <v>73</v>
      </c>
      <c r="D74" s="12">
        <f>'Tong quan'!$B$3+(C74-1)</f>
        <v>46263</v>
      </c>
      <c r="E74" s="4" t="s">
        <v>341</v>
      </c>
      <c r="F74" s="4" t="s">
        <v>342</v>
      </c>
      <c r="G74" s="4" t="s">
        <v>343</v>
      </c>
      <c r="H74" s="3" t="s">
        <v>103</v>
      </c>
      <c r="I74" s="3"/>
      <c r="J74" s="4"/>
      <c r="K74" s="3"/>
      <c r="L74" s="3" t="s">
        <v>344</v>
      </c>
      <c r="M74" s="3" t="s">
        <v>91</v>
      </c>
      <c r="N74" s="3" t="s">
        <v>103</v>
      </c>
      <c r="O74" s="3"/>
    </row>
    <row r="75" ht="26.4" spans="1:15">
      <c r="A75" s="3">
        <v>11</v>
      </c>
      <c r="B75" s="3">
        <v>4</v>
      </c>
      <c r="C75" s="3">
        <v>74</v>
      </c>
      <c r="D75" s="12">
        <f>'Tong quan'!$B$3+(C75-1)</f>
        <v>46264</v>
      </c>
      <c r="E75" s="4" t="s">
        <v>345</v>
      </c>
      <c r="F75" s="4" t="s">
        <v>98</v>
      </c>
      <c r="G75" s="4" t="s">
        <v>346</v>
      </c>
      <c r="H75" s="3" t="s">
        <v>103</v>
      </c>
      <c r="I75" s="3"/>
      <c r="J75" s="4"/>
      <c r="K75" s="3"/>
      <c r="L75" s="3" t="s">
        <v>347</v>
      </c>
      <c r="M75" s="3" t="s">
        <v>91</v>
      </c>
      <c r="N75" s="3" t="s">
        <v>103</v>
      </c>
      <c r="O75" s="3"/>
    </row>
    <row r="76" ht="26.4" spans="1:15">
      <c r="A76" s="3">
        <v>11</v>
      </c>
      <c r="B76" s="3">
        <v>5</v>
      </c>
      <c r="C76" s="3">
        <v>75</v>
      </c>
      <c r="D76" s="12">
        <f>'Tong quan'!$B$3+(C76-1)</f>
        <v>46265</v>
      </c>
      <c r="E76" s="4" t="s">
        <v>348</v>
      </c>
      <c r="F76" s="4" t="s">
        <v>349</v>
      </c>
      <c r="G76" s="4" t="s">
        <v>350</v>
      </c>
      <c r="H76" s="3" t="s">
        <v>103</v>
      </c>
      <c r="I76" s="3"/>
      <c r="J76" s="4"/>
      <c r="K76" s="3"/>
      <c r="L76" s="3" t="s">
        <v>351</v>
      </c>
      <c r="M76" s="3" t="s">
        <v>91</v>
      </c>
      <c r="N76" s="3" t="s">
        <v>103</v>
      </c>
      <c r="O76" s="3"/>
    </row>
    <row r="77" ht="26.4" spans="1:15">
      <c r="A77" s="3">
        <v>11</v>
      </c>
      <c r="B77" s="3">
        <v>6</v>
      </c>
      <c r="C77" s="3">
        <v>76</v>
      </c>
      <c r="D77" s="12">
        <f>'Tong quan'!$B$3+(C77-1)</f>
        <v>46266</v>
      </c>
      <c r="E77" s="4" t="s">
        <v>352</v>
      </c>
      <c r="F77" s="4" t="s">
        <v>98</v>
      </c>
      <c r="G77" s="4" t="s">
        <v>353</v>
      </c>
      <c r="H77" s="3" t="s">
        <v>103</v>
      </c>
      <c r="I77" s="3"/>
      <c r="J77" s="4"/>
      <c r="K77" s="3"/>
      <c r="L77" s="3" t="s">
        <v>354</v>
      </c>
      <c r="M77" s="3" t="s">
        <v>91</v>
      </c>
      <c r="N77" s="3" t="s">
        <v>103</v>
      </c>
      <c r="O77" s="3"/>
    </row>
    <row r="78" ht="26.4" spans="1:15">
      <c r="A78" s="13">
        <v>11</v>
      </c>
      <c r="B78" s="13">
        <v>7</v>
      </c>
      <c r="C78" s="13">
        <v>77</v>
      </c>
      <c r="D78" s="14">
        <f>'Tong quan'!$B$3+(C78-1)</f>
        <v>46267</v>
      </c>
      <c r="E78" s="15" t="s">
        <v>355</v>
      </c>
      <c r="F78" s="15" t="s">
        <v>98</v>
      </c>
      <c r="G78" s="15" t="s">
        <v>356</v>
      </c>
      <c r="H78" s="13" t="s">
        <v>103</v>
      </c>
      <c r="I78" s="13"/>
      <c r="J78" s="15"/>
      <c r="K78" s="13"/>
      <c r="L78" s="13" t="s">
        <v>357</v>
      </c>
      <c r="M78" s="13" t="s">
        <v>91</v>
      </c>
      <c r="N78" s="13" t="s">
        <v>103</v>
      </c>
      <c r="O78" s="13"/>
    </row>
    <row r="79" ht="26.4" spans="1:15">
      <c r="A79" s="3">
        <v>12</v>
      </c>
      <c r="B79" s="3">
        <v>1</v>
      </c>
      <c r="C79" s="3">
        <v>78</v>
      </c>
      <c r="D79" s="12">
        <f>'Tong quan'!$B$3+(C79-1)</f>
        <v>46268</v>
      </c>
      <c r="E79" s="4" t="s">
        <v>358</v>
      </c>
      <c r="F79" s="4" t="s">
        <v>98</v>
      </c>
      <c r="G79" s="4" t="s">
        <v>359</v>
      </c>
      <c r="H79" s="3" t="s">
        <v>103</v>
      </c>
      <c r="I79" s="3"/>
      <c r="J79" s="4"/>
      <c r="K79" s="3" t="s">
        <v>38</v>
      </c>
      <c r="L79" s="3" t="s">
        <v>360</v>
      </c>
      <c r="M79" s="3" t="s">
        <v>91</v>
      </c>
      <c r="N79" s="3" t="s">
        <v>103</v>
      </c>
      <c r="O79" s="3"/>
    </row>
    <row r="80" ht="26.4" spans="1:15">
      <c r="A80" s="3">
        <v>12</v>
      </c>
      <c r="B80" s="3">
        <v>2</v>
      </c>
      <c r="C80" s="3">
        <v>79</v>
      </c>
      <c r="D80" s="12">
        <f>'Tong quan'!$B$3+(C80-1)</f>
        <v>46269</v>
      </c>
      <c r="E80" s="4" t="s">
        <v>361</v>
      </c>
      <c r="F80" s="4" t="s">
        <v>362</v>
      </c>
      <c r="G80" s="4" t="s">
        <v>363</v>
      </c>
      <c r="H80" s="3" t="s">
        <v>103</v>
      </c>
      <c r="I80" s="3"/>
      <c r="J80" s="4"/>
      <c r="K80" s="3"/>
      <c r="L80" s="3" t="s">
        <v>364</v>
      </c>
      <c r="M80" s="3" t="s">
        <v>91</v>
      </c>
      <c r="N80" s="3" t="s">
        <v>103</v>
      </c>
      <c r="O80" s="3"/>
    </row>
    <row r="81" spans="1:15">
      <c r="A81" s="3">
        <v>12</v>
      </c>
      <c r="B81" s="3">
        <v>3</v>
      </c>
      <c r="C81" s="3">
        <v>80</v>
      </c>
      <c r="D81" s="12">
        <f>'Tong quan'!$B$3+(C81-1)</f>
        <v>46270</v>
      </c>
      <c r="E81" s="4" t="s">
        <v>365</v>
      </c>
      <c r="F81" s="4" t="s">
        <v>98</v>
      </c>
      <c r="G81" s="4" t="s">
        <v>366</v>
      </c>
      <c r="H81" s="3" t="s">
        <v>103</v>
      </c>
      <c r="I81" s="3"/>
      <c r="J81" s="4"/>
      <c r="K81" s="3"/>
      <c r="L81" s="3" t="s">
        <v>367</v>
      </c>
      <c r="M81" s="3" t="s">
        <v>368</v>
      </c>
      <c r="N81" s="3" t="s">
        <v>103</v>
      </c>
      <c r="O81" s="3"/>
    </row>
    <row r="82" ht="26.4" spans="1:15">
      <c r="A82" s="3">
        <v>12</v>
      </c>
      <c r="B82" s="3">
        <v>4</v>
      </c>
      <c r="C82" s="3">
        <v>81</v>
      </c>
      <c r="D82" s="12">
        <f>'Tong quan'!$B$3+(C82-1)</f>
        <v>46271</v>
      </c>
      <c r="E82" s="4" t="s">
        <v>369</v>
      </c>
      <c r="F82" s="4" t="s">
        <v>98</v>
      </c>
      <c r="G82" s="4" t="s">
        <v>370</v>
      </c>
      <c r="H82" s="3" t="s">
        <v>103</v>
      </c>
      <c r="I82" s="3"/>
      <c r="J82" s="4"/>
      <c r="K82" s="3"/>
      <c r="L82" s="3" t="s">
        <v>371</v>
      </c>
      <c r="M82" s="3" t="s">
        <v>91</v>
      </c>
      <c r="N82" s="3" t="s">
        <v>103</v>
      </c>
      <c r="O82" s="3"/>
    </row>
    <row r="83" ht="26.4" spans="1:15">
      <c r="A83" s="3">
        <v>12</v>
      </c>
      <c r="B83" s="3">
        <v>5</v>
      </c>
      <c r="C83" s="3">
        <v>82</v>
      </c>
      <c r="D83" s="12">
        <f>'Tong quan'!$B$3+(C83-1)</f>
        <v>46272</v>
      </c>
      <c r="E83" s="4" t="s">
        <v>372</v>
      </c>
      <c r="F83" s="4" t="s">
        <v>98</v>
      </c>
      <c r="G83" s="4" t="s">
        <v>373</v>
      </c>
      <c r="H83" s="3" t="s">
        <v>103</v>
      </c>
      <c r="I83" s="3"/>
      <c r="J83" s="4"/>
      <c r="K83" s="3"/>
      <c r="L83" s="3" t="s">
        <v>374</v>
      </c>
      <c r="M83" s="3" t="s">
        <v>98</v>
      </c>
      <c r="N83" s="3" t="s">
        <v>103</v>
      </c>
      <c r="O83" s="3"/>
    </row>
    <row r="84" ht="26.4" spans="1:15">
      <c r="A84" s="3">
        <v>12</v>
      </c>
      <c r="B84" s="3">
        <v>6</v>
      </c>
      <c r="C84" s="3">
        <v>83</v>
      </c>
      <c r="D84" s="12">
        <f>'Tong quan'!$B$3+(C84-1)</f>
        <v>46273</v>
      </c>
      <c r="E84" s="4" t="s">
        <v>375</v>
      </c>
      <c r="F84" s="4" t="s">
        <v>98</v>
      </c>
      <c r="G84" s="4" t="s">
        <v>376</v>
      </c>
      <c r="H84" s="3" t="s">
        <v>103</v>
      </c>
      <c r="I84" s="3"/>
      <c r="J84" s="4"/>
      <c r="K84" s="3"/>
      <c r="L84" s="3" t="s">
        <v>377</v>
      </c>
      <c r="M84" s="3" t="s">
        <v>98</v>
      </c>
      <c r="N84" s="3" t="s">
        <v>103</v>
      </c>
      <c r="O84" s="3"/>
    </row>
    <row r="85" ht="26.4" spans="1:15">
      <c r="A85" s="13">
        <v>12</v>
      </c>
      <c r="B85" s="13">
        <v>7</v>
      </c>
      <c r="C85" s="13">
        <v>84</v>
      </c>
      <c r="D85" s="14">
        <f>'Tong quan'!$B$3+(C85-1)</f>
        <v>46274</v>
      </c>
      <c r="E85" s="15" t="s">
        <v>378</v>
      </c>
      <c r="F85" s="15" t="s">
        <v>98</v>
      </c>
      <c r="G85" s="15" t="s">
        <v>379</v>
      </c>
      <c r="H85" s="13" t="s">
        <v>103</v>
      </c>
      <c r="I85" s="13"/>
      <c r="J85" s="15"/>
      <c r="K85" s="13"/>
      <c r="L85" s="13" t="s">
        <v>380</v>
      </c>
      <c r="M85" s="13" t="s">
        <v>98</v>
      </c>
      <c r="N85" s="13" t="s">
        <v>103</v>
      </c>
      <c r="O85" s="13"/>
    </row>
  </sheetData>
  <dataValidations count="2">
    <dataValidation type="list" allowBlank="1" sqref="H2:H85">
      <formula1>"Chua bat dau,Dang lam,Hoan thanh"</formula1>
    </dataValidation>
    <dataValidation type="list" allowBlank="1" sqref="N2:N85">
      <formula1>"Chua bat dau,Dang lam,Hoan thanh,Bo qua"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8.67592592592593" defaultRowHeight="14.4" outlineLevelCol="7"/>
  <cols>
    <col min="1" max="1" width="7" customWidth="1"/>
    <col min="2" max="2" width="26" customWidth="1"/>
    <col min="3" max="3" width="38" customWidth="1"/>
    <col min="4" max="4" width="16" customWidth="1"/>
    <col min="5" max="5" width="14" customWidth="1"/>
    <col min="6" max="6" width="24" customWidth="1"/>
    <col min="7" max="7" width="16" customWidth="1"/>
    <col min="8" max="8" width="26" customWidth="1"/>
  </cols>
  <sheetData>
    <row r="1" ht="27.6" spans="1:8">
      <c r="A1" s="1" t="s">
        <v>10</v>
      </c>
      <c r="B1" s="1" t="s">
        <v>57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62</v>
      </c>
    </row>
    <row r="2" ht="26.4" spans="1:8">
      <c r="A2" s="3">
        <v>1</v>
      </c>
      <c r="B2" s="4" t="s">
        <v>15</v>
      </c>
      <c r="C2" s="4" t="s">
        <v>386</v>
      </c>
      <c r="D2" s="3" t="str">
        <f>'Theo doi hang ngay'!H8</f>
        <v>Chua bat dau</v>
      </c>
      <c r="E2" s="3" t="str">
        <f t="shared" ref="E2:E13" si="0">IF(D2="Hoan thanh","Dat","Chua dat")</f>
        <v>Chua dat</v>
      </c>
      <c r="F2" s="4" t="s">
        <v>16</v>
      </c>
      <c r="G2" s="11">
        <f>COUNTIFS('Theo doi hang ngay'!N2:N8,"Hoan thanh")/7</f>
        <v>0.571428571428571</v>
      </c>
      <c r="H2" s="4"/>
    </row>
    <row r="3" ht="26.4" spans="1:8">
      <c r="A3" s="3">
        <v>2</v>
      </c>
      <c r="B3" s="4" t="s">
        <v>17</v>
      </c>
      <c r="C3" s="4" t="s">
        <v>387</v>
      </c>
      <c r="D3" s="3" t="str">
        <f>'Theo doi hang ngay'!H15</f>
        <v>Chua bat dau</v>
      </c>
      <c r="E3" s="3" t="str">
        <f t="shared" si="0"/>
        <v>Chua dat</v>
      </c>
      <c r="F3" s="4" t="s">
        <v>18</v>
      </c>
      <c r="G3" s="11">
        <f>COUNTIFS('Theo doi hang ngay'!N9:N15,"Hoan thanh")/7</f>
        <v>0</v>
      </c>
      <c r="H3" s="4"/>
    </row>
    <row r="4" ht="26.4" spans="1:8">
      <c r="A4" s="3">
        <v>3</v>
      </c>
      <c r="B4" s="4" t="s">
        <v>19</v>
      </c>
      <c r="C4" s="4" t="s">
        <v>388</v>
      </c>
      <c r="D4" s="3" t="str">
        <f>'Theo doi hang ngay'!H22</f>
        <v>Chua bat dau</v>
      </c>
      <c r="E4" s="3" t="str">
        <f t="shared" si="0"/>
        <v>Chua dat</v>
      </c>
      <c r="F4" s="4" t="s">
        <v>20</v>
      </c>
      <c r="G4" s="11">
        <f>COUNTIFS('Theo doi hang ngay'!N16:N22,"Hoan thanh")/7</f>
        <v>0</v>
      </c>
      <c r="H4" s="4"/>
    </row>
    <row r="5" ht="26.4" spans="1:8">
      <c r="A5" s="3">
        <v>4</v>
      </c>
      <c r="B5" s="4" t="s">
        <v>21</v>
      </c>
      <c r="C5" s="4" t="s">
        <v>389</v>
      </c>
      <c r="D5" s="3" t="str">
        <f>'Theo doi hang ngay'!H29</f>
        <v>Chua bat dau</v>
      </c>
      <c r="E5" s="3" t="str">
        <f t="shared" si="0"/>
        <v>Chua dat</v>
      </c>
      <c r="F5" s="4" t="s">
        <v>22</v>
      </c>
      <c r="G5" s="11">
        <f>COUNTIFS('Theo doi hang ngay'!N23:N29,"Hoan thanh")/7</f>
        <v>0</v>
      </c>
      <c r="H5" s="4"/>
    </row>
    <row r="6" ht="26.4" spans="1:8">
      <c r="A6" s="3">
        <v>5</v>
      </c>
      <c r="B6" s="4" t="s">
        <v>23</v>
      </c>
      <c r="C6" s="4" t="s">
        <v>390</v>
      </c>
      <c r="D6" s="3" t="str">
        <f>'Theo doi hang ngay'!H36</f>
        <v>Chua bat dau</v>
      </c>
      <c r="E6" s="3" t="str">
        <f t="shared" si="0"/>
        <v>Chua dat</v>
      </c>
      <c r="F6" s="4" t="s">
        <v>24</v>
      </c>
      <c r="G6" s="11">
        <f>COUNTIFS('Theo doi hang ngay'!N30:N36,"Hoan thanh")/7</f>
        <v>0</v>
      </c>
      <c r="H6" s="4"/>
    </row>
    <row r="7" ht="26.4" spans="1:8">
      <c r="A7" s="3">
        <v>6</v>
      </c>
      <c r="B7" s="4" t="s">
        <v>25</v>
      </c>
      <c r="C7" s="4" t="s">
        <v>391</v>
      </c>
      <c r="D7" s="3" t="str">
        <f>'Theo doi hang ngay'!H43</f>
        <v>Chua bat dau</v>
      </c>
      <c r="E7" s="3" t="str">
        <f t="shared" si="0"/>
        <v>Chua dat</v>
      </c>
      <c r="F7" s="4" t="s">
        <v>26</v>
      </c>
      <c r="G7" s="11">
        <f>COUNTIFS('Theo doi hang ngay'!N37:N43,"Hoan thanh")/7</f>
        <v>0</v>
      </c>
      <c r="H7" s="4"/>
    </row>
    <row r="8" ht="26.4" spans="1:8">
      <c r="A8" s="3">
        <v>7</v>
      </c>
      <c r="B8" s="4" t="s">
        <v>27</v>
      </c>
      <c r="C8" s="4" t="s">
        <v>392</v>
      </c>
      <c r="D8" s="3" t="str">
        <f>'Theo doi hang ngay'!H50</f>
        <v>Chua bat dau</v>
      </c>
      <c r="E8" s="3" t="str">
        <f t="shared" si="0"/>
        <v>Chua dat</v>
      </c>
      <c r="F8" s="4" t="s">
        <v>28</v>
      </c>
      <c r="G8" s="11">
        <f>COUNTIFS('Theo doi hang ngay'!N44:N50,"Hoan thanh")/7</f>
        <v>0</v>
      </c>
      <c r="H8" s="4"/>
    </row>
    <row r="9" ht="26.4" spans="1:8">
      <c r="A9" s="3">
        <v>8</v>
      </c>
      <c r="B9" s="4" t="s">
        <v>29</v>
      </c>
      <c r="C9" s="4" t="s">
        <v>393</v>
      </c>
      <c r="D9" s="3" t="str">
        <f>'Theo doi hang ngay'!H57</f>
        <v>Chua bat dau</v>
      </c>
      <c r="E9" s="3" t="str">
        <f t="shared" si="0"/>
        <v>Chua dat</v>
      </c>
      <c r="F9" s="4" t="s">
        <v>30</v>
      </c>
      <c r="G9" s="11">
        <f>COUNTIFS('Theo doi hang ngay'!N51:N57,"Hoan thanh")/7</f>
        <v>0</v>
      </c>
      <c r="H9" s="4"/>
    </row>
    <row r="10" spans="1:8">
      <c r="A10" s="3">
        <v>9</v>
      </c>
      <c r="B10" s="4" t="s">
        <v>31</v>
      </c>
      <c r="C10" s="4" t="s">
        <v>394</v>
      </c>
      <c r="D10" s="3" t="str">
        <f>'Theo doi hang ngay'!H64</f>
        <v>Chua bat dau</v>
      </c>
      <c r="E10" s="3" t="str">
        <f t="shared" si="0"/>
        <v>Chua dat</v>
      </c>
      <c r="F10" s="4" t="s">
        <v>32</v>
      </c>
      <c r="G10" s="11">
        <f>COUNTIFS('Theo doi hang ngay'!N58:N64,"Hoan thanh")/7</f>
        <v>0</v>
      </c>
      <c r="H10" s="4"/>
    </row>
    <row r="11" ht="26.4" spans="1:8">
      <c r="A11" s="3">
        <v>10</v>
      </c>
      <c r="B11" s="4" t="s">
        <v>33</v>
      </c>
      <c r="C11" s="4" t="s">
        <v>395</v>
      </c>
      <c r="D11" s="3" t="str">
        <f>'Theo doi hang ngay'!H71</f>
        <v>Chua bat dau</v>
      </c>
      <c r="E11" s="3" t="str">
        <f t="shared" si="0"/>
        <v>Chua dat</v>
      </c>
      <c r="F11" s="4" t="s">
        <v>34</v>
      </c>
      <c r="G11" s="11">
        <f>COUNTIFS('Theo doi hang ngay'!N65:N71,"Hoan thanh")/7</f>
        <v>0</v>
      </c>
      <c r="H11" s="4"/>
    </row>
    <row r="12" ht="26.4" spans="1:8">
      <c r="A12" s="3">
        <v>11</v>
      </c>
      <c r="B12" s="4" t="s">
        <v>35</v>
      </c>
      <c r="C12" s="4" t="s">
        <v>396</v>
      </c>
      <c r="D12" s="3" t="str">
        <f>'Theo doi hang ngay'!H78</f>
        <v>Chua bat dau</v>
      </c>
      <c r="E12" s="3" t="str">
        <f t="shared" si="0"/>
        <v>Chua dat</v>
      </c>
      <c r="F12" s="4" t="s">
        <v>36</v>
      </c>
      <c r="G12" s="11">
        <f>COUNTIFS('Theo doi hang ngay'!N72:N78,"Hoan thanh")/7</f>
        <v>0</v>
      </c>
      <c r="H12" s="4"/>
    </row>
    <row r="13" ht="26.4" spans="1:8">
      <c r="A13" s="3">
        <v>12</v>
      </c>
      <c r="B13" s="4" t="s">
        <v>37</v>
      </c>
      <c r="C13" s="4" t="s">
        <v>397</v>
      </c>
      <c r="D13" s="3" t="str">
        <f>'Theo doi hang ngay'!H85</f>
        <v>Chua bat dau</v>
      </c>
      <c r="E13" s="3" t="str">
        <f t="shared" si="0"/>
        <v>Chua dat</v>
      </c>
      <c r="F13" s="4" t="s">
        <v>38</v>
      </c>
      <c r="G13" s="11">
        <f>COUNTIFS('Theo doi hang ngay'!N79:N85,"Hoan thanh")/7</f>
        <v>0</v>
      </c>
      <c r="H13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pane ySplit="1" topLeftCell="A2" activePane="bottomLeft" state="frozen"/>
      <selection/>
      <selection pane="bottomLeft" activeCell="C25" sqref="C25"/>
    </sheetView>
  </sheetViews>
  <sheetFormatPr defaultColWidth="8.67592592592593" defaultRowHeight="14.4" outlineLevelCol="7"/>
  <cols>
    <col min="1" max="1" width="22" customWidth="1"/>
    <col min="2" max="2" width="46" customWidth="1"/>
    <col min="3" max="3" width="14" customWidth="1"/>
    <col min="4" max="4" width="30" customWidth="1"/>
    <col min="6" max="6" width="22" customWidth="1"/>
    <col min="7" max="7" width="16" customWidth="1"/>
    <col min="8" max="8" width="14" customWidth="1"/>
  </cols>
  <sheetData>
    <row r="1" ht="15.6" spans="1:8">
      <c r="A1" s="1" t="s">
        <v>46</v>
      </c>
      <c r="B1" s="1" t="s">
        <v>398</v>
      </c>
      <c r="C1" s="1" t="s">
        <v>399</v>
      </c>
      <c r="D1" s="1" t="s">
        <v>62</v>
      </c>
      <c r="F1" s="6" t="s">
        <v>400</v>
      </c>
    </row>
    <row r="2" spans="1:8">
      <c r="A2" s="3" t="s">
        <v>49</v>
      </c>
      <c r="B2" s="4" t="s">
        <v>401</v>
      </c>
      <c r="C2" s="3" t="s">
        <v>103</v>
      </c>
      <c r="D2" s="4"/>
      <c r="F2" s="7" t="s">
        <v>46</v>
      </c>
      <c r="G2" s="7" t="s">
        <v>402</v>
      </c>
      <c r="H2" s="7" t="s">
        <v>48</v>
      </c>
    </row>
    <row r="3" spans="1:8">
      <c r="A3" s="3" t="s">
        <v>49</v>
      </c>
      <c r="B3" s="4" t="s">
        <v>263</v>
      </c>
      <c r="C3" s="3" t="s">
        <v>103</v>
      </c>
      <c r="D3" s="4"/>
      <c r="F3" s="8" t="s">
        <v>49</v>
      </c>
      <c r="G3" s="9" t="str">
        <f>COUNTIFS($A$2:$A$21,F3,$C$2:$C$21,"Hoan thanh")&amp;"/"&amp;COUNTIF($A$2:$A$21,F3)</f>
        <v>0/7</v>
      </c>
      <c r="H3" s="10">
        <f>COUNTIFS($A$2:$A$21,F3,$C$2:$C$21,"Hoan thanh")/COUNTIF($A$2:$A$21,F3)</f>
        <v>0</v>
      </c>
    </row>
    <row r="4" spans="1:8">
      <c r="A4" s="3" t="s">
        <v>49</v>
      </c>
      <c r="B4" s="4" t="s">
        <v>403</v>
      </c>
      <c r="C4" s="3" t="s">
        <v>103</v>
      </c>
      <c r="D4" s="4"/>
      <c r="F4" s="8" t="s">
        <v>50</v>
      </c>
      <c r="G4" s="9" t="str">
        <f>COUNTIFS($A$2:$A$21,F4,$C$2:$C$21,"Hoan thanh")&amp;"/"&amp;COUNTIF($A$2:$A$21,F4)</f>
        <v>0/7</v>
      </c>
      <c r="H4" s="10">
        <f>COUNTIFS($A$2:$A$21,F4,$C$2:$C$21,"Hoan thanh")/COUNTIF($A$2:$A$21,F4)</f>
        <v>0</v>
      </c>
    </row>
    <row r="5" spans="1:8">
      <c r="A5" s="3" t="s">
        <v>49</v>
      </c>
      <c r="B5" s="4" t="s">
        <v>404</v>
      </c>
      <c r="C5" s="3" t="s">
        <v>103</v>
      </c>
      <c r="D5" s="4"/>
      <c r="F5" s="8" t="s">
        <v>51</v>
      </c>
      <c r="G5" s="9" t="str">
        <f>COUNTIFS($A$2:$A$21,F5,$C$2:$C$21,"Hoan thanh")&amp;"/"&amp;COUNTIF($A$2:$A$21,F5)</f>
        <v>0/6</v>
      </c>
      <c r="H5" s="10">
        <f>COUNTIFS($A$2:$A$21,F5,$C$2:$C$21,"Hoan thanh")/COUNTIF($A$2:$A$21,F5)</f>
        <v>0</v>
      </c>
    </row>
    <row r="6" spans="1:8">
      <c r="A6" s="3" t="s">
        <v>49</v>
      </c>
      <c r="B6" s="4" t="s">
        <v>405</v>
      </c>
      <c r="C6" s="3" t="s">
        <v>103</v>
      </c>
      <c r="D6" s="4"/>
    </row>
    <row r="7" spans="1:8">
      <c r="A7" s="3" t="s">
        <v>49</v>
      </c>
      <c r="B7" s="4" t="s">
        <v>406</v>
      </c>
      <c r="C7" s="3" t="s">
        <v>103</v>
      </c>
      <c r="D7" s="4"/>
    </row>
    <row r="8" spans="1:8">
      <c r="A8" s="3" t="s">
        <v>49</v>
      </c>
      <c r="B8" s="4" t="s">
        <v>407</v>
      </c>
      <c r="C8" s="3" t="s">
        <v>103</v>
      </c>
      <c r="D8" s="4"/>
    </row>
    <row r="9" spans="1:8">
      <c r="A9" s="3" t="s">
        <v>50</v>
      </c>
      <c r="B9" s="4" t="s">
        <v>408</v>
      </c>
      <c r="C9" s="3" t="s">
        <v>103</v>
      </c>
      <c r="D9" s="4"/>
    </row>
    <row r="10" spans="1:8">
      <c r="A10" s="3" t="s">
        <v>50</v>
      </c>
      <c r="B10" s="4" t="s">
        <v>409</v>
      </c>
      <c r="C10" s="3" t="s">
        <v>103</v>
      </c>
      <c r="D10" s="4"/>
    </row>
    <row r="11" spans="1:8">
      <c r="A11" s="3" t="s">
        <v>50</v>
      </c>
      <c r="B11" s="4" t="s">
        <v>410</v>
      </c>
      <c r="C11" s="3" t="s">
        <v>103</v>
      </c>
      <c r="D11" s="4"/>
    </row>
    <row r="12" spans="1:8">
      <c r="A12" s="3" t="s">
        <v>50</v>
      </c>
      <c r="B12" s="4" t="s">
        <v>411</v>
      </c>
      <c r="C12" s="3" t="s">
        <v>103</v>
      </c>
      <c r="D12" s="4"/>
    </row>
    <row r="13" spans="1:8">
      <c r="A13" s="3" t="s">
        <v>50</v>
      </c>
      <c r="B13" s="4" t="s">
        <v>412</v>
      </c>
      <c r="C13" s="3" t="s">
        <v>103</v>
      </c>
      <c r="D13" s="4"/>
    </row>
    <row r="14" spans="1:8">
      <c r="A14" s="3" t="s">
        <v>50</v>
      </c>
      <c r="B14" s="4" t="s">
        <v>413</v>
      </c>
      <c r="C14" s="3" t="s">
        <v>103</v>
      </c>
      <c r="D14" s="4"/>
    </row>
    <row r="15" spans="1:8">
      <c r="A15" s="3" t="s">
        <v>50</v>
      </c>
      <c r="B15" s="4" t="s">
        <v>407</v>
      </c>
      <c r="C15" s="3" t="s">
        <v>103</v>
      </c>
      <c r="D15" s="4"/>
    </row>
    <row r="16" spans="1:8">
      <c r="A16" s="3" t="s">
        <v>51</v>
      </c>
      <c r="B16" s="4" t="s">
        <v>414</v>
      </c>
      <c r="C16" s="3" t="s">
        <v>103</v>
      </c>
      <c r="D16" s="4"/>
    </row>
    <row r="17" spans="1:4">
      <c r="A17" s="3" t="s">
        <v>51</v>
      </c>
      <c r="B17" s="4" t="s">
        <v>415</v>
      </c>
      <c r="C17" s="3" t="s">
        <v>103</v>
      </c>
      <c r="D17" s="4"/>
    </row>
    <row r="18" spans="1:4">
      <c r="A18" s="3" t="s">
        <v>51</v>
      </c>
      <c r="B18" s="4" t="s">
        <v>416</v>
      </c>
      <c r="C18" s="3" t="s">
        <v>103</v>
      </c>
      <c r="D18" s="4"/>
    </row>
    <row r="19" spans="1:4">
      <c r="A19" s="3" t="s">
        <v>51</v>
      </c>
      <c r="B19" s="4" t="s">
        <v>417</v>
      </c>
      <c r="C19" s="3" t="s">
        <v>103</v>
      </c>
      <c r="D19" s="4"/>
    </row>
    <row r="20" spans="1:4">
      <c r="A20" s="3" t="s">
        <v>51</v>
      </c>
      <c r="B20" s="4" t="s">
        <v>418</v>
      </c>
      <c r="C20" s="3" t="s">
        <v>103</v>
      </c>
      <c r="D20" s="4"/>
    </row>
    <row r="21" spans="1:4">
      <c r="A21" s="3" t="s">
        <v>51</v>
      </c>
      <c r="B21" s="4" t="s">
        <v>407</v>
      </c>
      <c r="C21" s="3" t="s">
        <v>103</v>
      </c>
      <c r="D21" s="4"/>
    </row>
  </sheetData>
  <dataValidations count="1">
    <dataValidation type="list" allowBlank="1" sqref="C2:C21">
      <formula1>"Chua bat dau,Dang lam,Hoan thanh"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8.67592592592593" defaultRowHeight="14.4" outlineLevelCol="6"/>
  <cols>
    <col min="1" max="1" width="6" customWidth="1"/>
    <col min="2" max="2" width="20" customWidth="1"/>
    <col min="3" max="3" width="52" customWidth="1"/>
    <col min="4" max="4" width="16" customWidth="1"/>
    <col min="5" max="5" width="30" customWidth="1"/>
    <col min="7" max="7" width="20" customWidth="1"/>
  </cols>
  <sheetData>
    <row r="1" spans="1:7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G1" s="2" t="s">
        <v>424</v>
      </c>
    </row>
    <row r="2" spans="1:7">
      <c r="A2" s="3">
        <v>1</v>
      </c>
      <c r="B2" s="3" t="s">
        <v>425</v>
      </c>
      <c r="C2" s="4" t="s">
        <v>426</v>
      </c>
      <c r="D2" s="3" t="s">
        <v>427</v>
      </c>
      <c r="E2" s="4"/>
      <c r="G2" s="5" t="str">
        <f>COUNTIF(D2:D21,"Co")&amp;"/"&amp;20</f>
        <v>0/20</v>
      </c>
    </row>
    <row r="3" ht="26.4" spans="1:7">
      <c r="A3" s="3">
        <v>2</v>
      </c>
      <c r="B3" s="3" t="s">
        <v>425</v>
      </c>
      <c r="C3" s="4" t="s">
        <v>428</v>
      </c>
      <c r="D3" s="3" t="s">
        <v>427</v>
      </c>
      <c r="E3" s="4"/>
    </row>
    <row r="4" ht="26.4" spans="1:7">
      <c r="A4" s="3">
        <v>3</v>
      </c>
      <c r="B4" s="3" t="s">
        <v>425</v>
      </c>
      <c r="C4" s="4" t="s">
        <v>429</v>
      </c>
      <c r="D4" s="3" t="s">
        <v>427</v>
      </c>
      <c r="E4" s="4"/>
    </row>
    <row r="5" spans="1:7">
      <c r="A5" s="3">
        <v>4</v>
      </c>
      <c r="B5" s="3" t="s">
        <v>425</v>
      </c>
      <c r="C5" s="4" t="s">
        <v>430</v>
      </c>
      <c r="D5" s="3" t="s">
        <v>427</v>
      </c>
      <c r="E5" s="4"/>
    </row>
    <row r="6" ht="26.4" spans="1:7">
      <c r="A6" s="3">
        <v>5</v>
      </c>
      <c r="B6" s="3" t="s">
        <v>431</v>
      </c>
      <c r="C6" s="4" t="s">
        <v>432</v>
      </c>
      <c r="D6" s="3" t="s">
        <v>427</v>
      </c>
      <c r="E6" s="4"/>
    </row>
    <row r="7" spans="1:7">
      <c r="A7" s="3">
        <v>6</v>
      </c>
      <c r="B7" s="3" t="s">
        <v>431</v>
      </c>
      <c r="C7" s="4" t="s">
        <v>433</v>
      </c>
      <c r="D7" s="3" t="s">
        <v>427</v>
      </c>
      <c r="E7" s="4"/>
    </row>
    <row r="8" spans="1:7">
      <c r="A8" s="3">
        <v>7</v>
      </c>
      <c r="B8" s="3" t="s">
        <v>431</v>
      </c>
      <c r="C8" s="4" t="s">
        <v>434</v>
      </c>
      <c r="D8" s="3" t="s">
        <v>427</v>
      </c>
      <c r="E8" s="4"/>
    </row>
    <row r="9" spans="1:7">
      <c r="A9" s="3">
        <v>8</v>
      </c>
      <c r="B9" s="3" t="s">
        <v>435</v>
      </c>
      <c r="C9" s="4" t="s">
        <v>436</v>
      </c>
      <c r="D9" s="3" t="s">
        <v>427</v>
      </c>
      <c r="E9" s="4"/>
    </row>
    <row r="10" ht="26.4" spans="1:7">
      <c r="A10" s="3">
        <v>9</v>
      </c>
      <c r="B10" s="3" t="s">
        <v>435</v>
      </c>
      <c r="C10" s="4" t="s">
        <v>437</v>
      </c>
      <c r="D10" s="3" t="s">
        <v>427</v>
      </c>
      <c r="E10" s="4"/>
    </row>
    <row r="11" spans="1:7">
      <c r="A11" s="3">
        <v>10</v>
      </c>
      <c r="B11" s="3" t="s">
        <v>435</v>
      </c>
      <c r="C11" s="4" t="s">
        <v>438</v>
      </c>
      <c r="D11" s="3" t="s">
        <v>427</v>
      </c>
      <c r="E11" s="4"/>
    </row>
    <row r="12" spans="1:7">
      <c r="A12" s="3">
        <v>11</v>
      </c>
      <c r="B12" s="3" t="s">
        <v>435</v>
      </c>
      <c r="C12" s="4" t="s">
        <v>439</v>
      </c>
      <c r="D12" s="3" t="s">
        <v>427</v>
      </c>
      <c r="E12" s="4"/>
    </row>
    <row r="13" spans="1:7">
      <c r="A13" s="3">
        <v>12</v>
      </c>
      <c r="B13" s="3" t="s">
        <v>435</v>
      </c>
      <c r="C13" s="4" t="s">
        <v>440</v>
      </c>
      <c r="D13" s="3" t="s">
        <v>427</v>
      </c>
      <c r="E13" s="4"/>
    </row>
    <row r="14" spans="1:7">
      <c r="A14" s="3">
        <v>13</v>
      </c>
      <c r="B14" s="3" t="s">
        <v>435</v>
      </c>
      <c r="C14" s="4" t="s">
        <v>441</v>
      </c>
      <c r="D14" s="3" t="s">
        <v>427</v>
      </c>
      <c r="E14" s="4"/>
    </row>
    <row r="15" ht="26.4" spans="1:7">
      <c r="A15" s="3">
        <v>14</v>
      </c>
      <c r="B15" s="3" t="s">
        <v>442</v>
      </c>
      <c r="C15" s="4" t="s">
        <v>443</v>
      </c>
      <c r="D15" s="3" t="s">
        <v>427</v>
      </c>
      <c r="E15" s="4"/>
    </row>
    <row r="16" ht="26.4" spans="1:7">
      <c r="A16" s="3">
        <v>15</v>
      </c>
      <c r="B16" s="3" t="s">
        <v>442</v>
      </c>
      <c r="C16" s="4" t="s">
        <v>444</v>
      </c>
      <c r="D16" s="3" t="s">
        <v>427</v>
      </c>
      <c r="E16" s="4"/>
    </row>
    <row r="17" ht="26.4" spans="1:5">
      <c r="A17" s="3">
        <v>16</v>
      </c>
      <c r="B17" s="3" t="s">
        <v>442</v>
      </c>
      <c r="C17" s="4" t="s">
        <v>445</v>
      </c>
      <c r="D17" s="3" t="s">
        <v>427</v>
      </c>
      <c r="E17" s="4"/>
    </row>
    <row r="18" ht="26.4" spans="1:5">
      <c r="A18" s="3">
        <v>17</v>
      </c>
      <c r="B18" s="3" t="s">
        <v>442</v>
      </c>
      <c r="C18" s="4" t="s">
        <v>446</v>
      </c>
      <c r="D18" s="3" t="s">
        <v>427</v>
      </c>
      <c r="E18" s="4"/>
    </row>
    <row r="19" spans="1:5">
      <c r="A19" s="3">
        <v>18</v>
      </c>
      <c r="B19" s="3" t="s">
        <v>447</v>
      </c>
      <c r="C19" s="4" t="s">
        <v>448</v>
      </c>
      <c r="D19" s="3" t="s">
        <v>427</v>
      </c>
      <c r="E19" s="4"/>
    </row>
    <row r="20" spans="1:5">
      <c r="A20" s="3">
        <v>19</v>
      </c>
      <c r="B20" s="3" t="s">
        <v>447</v>
      </c>
      <c r="C20" s="4" t="s">
        <v>449</v>
      </c>
      <c r="D20" s="3" t="s">
        <v>427</v>
      </c>
      <c r="E20" s="4"/>
    </row>
    <row r="21" spans="1:5">
      <c r="A21" s="3">
        <v>20</v>
      </c>
      <c r="B21" s="3" t="s">
        <v>447</v>
      </c>
      <c r="C21" s="4" t="s">
        <v>450</v>
      </c>
      <c r="D21" s="3" t="s">
        <v>427</v>
      </c>
      <c r="E21" s="4"/>
    </row>
  </sheetData>
  <dataValidations count="1">
    <dataValidation type="list" allowBlank="1" sqref="D2:D21">
      <formula1>"Co,Chua"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 quan</vt:lpstr>
      <vt:lpstr>Theo doi hang ngay</vt:lpstr>
      <vt:lpstr>Checkpoint theo tuan</vt:lpstr>
      <vt:lpstr>Portfolio Projects</vt:lpstr>
      <vt:lpstr>Cau hoi phong van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</cp:lastModifiedBy>
  <cp:revision>0</cp:revision>
  <dcterms:created xsi:type="dcterms:W3CDTF">2026-06-18T02:29:00Z</dcterms:created>
  <dcterms:modified xsi:type="dcterms:W3CDTF">2026-06-23T18:17:38Z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463D055016804870B56353465CC25DE0_12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